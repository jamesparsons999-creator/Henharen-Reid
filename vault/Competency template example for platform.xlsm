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00000000-0000-0000-0000-000000000000}"/>
  <workbookPr codeName="ThisWorkbook"/>
  <mc:AlternateContent xmlns:mc="http://schemas.openxmlformats.org/markup-compatibility/2006">
    <mc:Choice Requires="x15">
      <x15ac:absPath xmlns:x15ac="http://schemas.microsoft.com/office/spreadsheetml/2010/11/ac" url="C:\Users\Dell\Downloads\Career Pathing Models\"/>
    </mc:Choice>
  </mc:AlternateContent>
  <xr:revisionPtr revIDLastSave="0" documentId="8_{3C40E3AF-E604-4838-A07A-CB3342011B57}" xr6:coauthVersionLast="47" xr6:coauthVersionMax="47" xr10:uidLastSave="{00000000-0000-0000-0000-000000000000}"/>
  <bookViews>
    <workbookView xWindow="-110" yWindow="-110" windowWidth="19420" windowHeight="10300" firstSheet="2" activeTab="4" xr2:uid="{00000000-000D-0000-FFFF-FFFF00000000}"/>
  </bookViews>
  <sheets>
    <sheet name="INSTRUCTIONS" sheetId="11" r:id="rId1"/>
    <sheet name="FCP" sheetId="1" r:id="rId2"/>
    <sheet name="Head of FCP" sheetId="4" r:id="rId3"/>
    <sheet name="VP, FCP" sheetId="6" r:id="rId4"/>
    <sheet name="AVP, Manager of FCP" sheetId="10" r:id="rId5"/>
    <sheet name="Role-Level Mapping" sheetId="2" r:id="rId6"/>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 i="6" l="1"/>
  <c r="B5" i="10"/>
  <c r="B5" i="4"/>
  <c r="B3" i="6" a="1"/>
  <c r="B3" i="6" s="1"/>
  <c r="B3" i="10" a="1"/>
  <c r="B3" i="10" s="1"/>
  <c r="B3" i="4" a="1"/>
  <c r="B3" i="4" s="1"/>
  <c r="B4" i="6"/>
  <c r="B4" i="10"/>
  <c r="L2" i="6"/>
  <c r="L2" i="10"/>
  <c r="L2" i="4"/>
  <c r="B4" i="4" s="1"/>
  <c r="D3" i="4"/>
  <c r="E3" i="10" l="1"/>
  <c r="F3" i="10"/>
  <c r="F6" i="10" s="1" a="1"/>
  <c r="F6" i="10" s="1"/>
  <c r="G3" i="10"/>
  <c r="G6" i="10" s="1" a="1"/>
  <c r="G6" i="10" s="1"/>
  <c r="H3" i="10"/>
  <c r="H4" i="10" s="1"/>
  <c r="I3" i="10"/>
  <c r="I4" i="10" s="1"/>
  <c r="J3" i="10"/>
  <c r="J4" i="10" s="1"/>
  <c r="K3" i="10"/>
  <c r="K4" i="10" s="1"/>
  <c r="D3" i="10"/>
  <c r="D6" i="10" s="1" a="1"/>
  <c r="D6" i="10" s="1"/>
  <c r="E3" i="6"/>
  <c r="F3" i="6"/>
  <c r="G3" i="6"/>
  <c r="H3" i="6"/>
  <c r="I3" i="6"/>
  <c r="J3" i="6"/>
  <c r="K3" i="6"/>
  <c r="D3" i="6"/>
  <c r="E3" i="4"/>
  <c r="F3" i="4"/>
  <c r="G3" i="4"/>
  <c r="H3" i="4"/>
  <c r="I3" i="4"/>
  <c r="J3" i="4"/>
  <c r="K3" i="4"/>
  <c r="K5" i="10" a="1"/>
  <c r="K5" i="10" s="1"/>
  <c r="J5" i="10" a="1"/>
  <c r="J5" i="10" s="1"/>
  <c r="I5" i="10" a="1"/>
  <c r="I5" i="10" s="1"/>
  <c r="H5" i="10" a="1"/>
  <c r="H5" i="10" s="1"/>
  <c r="G5" i="10" a="1"/>
  <c r="G5" i="10" s="1"/>
  <c r="F5" i="10" a="1"/>
  <c r="F5" i="10" s="1"/>
  <c r="E5" i="10" a="1"/>
  <c r="E5" i="10" s="1"/>
  <c r="D5" i="10" a="1"/>
  <c r="D5" i="10" s="1"/>
  <c r="E4" i="10"/>
  <c r="K1" i="10"/>
  <c r="J1" i="10"/>
  <c r="I1" i="10"/>
  <c r="H1" i="10"/>
  <c r="G1" i="10"/>
  <c r="F1" i="10"/>
  <c r="E1" i="10"/>
  <c r="D1" i="10"/>
  <c r="K1" i="6"/>
  <c r="J1" i="6"/>
  <c r="I1" i="6"/>
  <c r="H1" i="6"/>
  <c r="G1" i="6"/>
  <c r="F1" i="6"/>
  <c r="E1" i="6"/>
  <c r="D1" i="6"/>
  <c r="E1" i="4"/>
  <c r="F1" i="4"/>
  <c r="G1" i="4"/>
  <c r="H1" i="4"/>
  <c r="I1" i="4"/>
  <c r="J1" i="4"/>
  <c r="K1" i="4"/>
  <c r="D1" i="4"/>
  <c r="K5" i="6" a="1"/>
  <c r="K5" i="6" s="1"/>
  <c r="J5" i="6" a="1"/>
  <c r="J5" i="6" s="1"/>
  <c r="I5" i="6" a="1"/>
  <c r="I5" i="6" s="1"/>
  <c r="H5" i="6" a="1"/>
  <c r="H5" i="6" s="1"/>
  <c r="G5" i="6" a="1"/>
  <c r="G5" i="6" s="1"/>
  <c r="F5" i="6" a="1"/>
  <c r="F5" i="6" s="1"/>
  <c r="E5" i="6" a="1"/>
  <c r="E5" i="6" s="1"/>
  <c r="D5" i="6" a="1"/>
  <c r="D5" i="6" s="1"/>
  <c r="K5" i="4" a="1"/>
  <c r="K5" i="4" s="1"/>
  <c r="J5" i="4" a="1"/>
  <c r="J5" i="4" s="1"/>
  <c r="I5" i="4" a="1"/>
  <c r="I5" i="4" s="1"/>
  <c r="H5" i="4" a="1"/>
  <c r="H5" i="4" s="1"/>
  <c r="G5" i="4" a="1"/>
  <c r="G5" i="4" s="1"/>
  <c r="F5" i="4" a="1"/>
  <c r="F5" i="4" s="1"/>
  <c r="E5" i="4" a="1"/>
  <c r="E5" i="4" s="1"/>
  <c r="D5" i="4" a="1"/>
  <c r="D5" i="4" s="1"/>
  <c r="I6" i="10" l="1" a="1"/>
  <c r="I6" i="10" s="1"/>
  <c r="D4" i="10"/>
  <c r="B11" i="10" s="1"/>
  <c r="H6" i="10" a="1"/>
  <c r="H6" i="10" s="1"/>
  <c r="E6" i="10" a="1"/>
  <c r="E6" i="10" s="1"/>
  <c r="G4" i="10"/>
  <c r="F4" i="10"/>
  <c r="J6" i="10" a="1"/>
  <c r="J6" i="10" s="1"/>
  <c r="K6" i="10" a="1"/>
  <c r="K6" i="10" s="1"/>
  <c r="I4" i="6"/>
  <c r="J4" i="4"/>
  <c r="I4" i="4"/>
  <c r="D4" i="4"/>
  <c r="D4" i="6"/>
  <c r="B11" i="6" s="1"/>
  <c r="K6" i="4" a="1"/>
  <c r="K6" i="4" s="1"/>
  <c r="H4" i="4"/>
  <c r="G4" i="4"/>
  <c r="F4" i="4"/>
  <c r="E4" i="4"/>
  <c r="J6" i="6" a="1"/>
  <c r="J6" i="6" s="1"/>
  <c r="J4" i="6"/>
  <c r="K6" i="6" a="1"/>
  <c r="K6" i="6" s="1"/>
  <c r="K4" i="6"/>
  <c r="H6" i="6" a="1"/>
  <c r="H6" i="6" s="1"/>
  <c r="H4" i="6"/>
  <c r="G6" i="6" a="1"/>
  <c r="G6" i="6" s="1"/>
  <c r="G4" i="6"/>
  <c r="F4" i="6"/>
  <c r="F6" i="6" a="1"/>
  <c r="F6" i="6" s="1"/>
  <c r="E6" i="6" a="1"/>
  <c r="E6" i="6" s="1"/>
  <c r="E4" i="6"/>
  <c r="D6" i="6" a="1"/>
  <c r="D6" i="6" s="1"/>
  <c r="I6" i="6" a="1"/>
  <c r="I6" i="6" s="1"/>
  <c r="J6" i="4" a="1"/>
  <c r="J6" i="4" s="1"/>
  <c r="I6" i="4" a="1"/>
  <c r="I6" i="4" s="1"/>
  <c r="G6" i="4" a="1"/>
  <c r="G6" i="4" s="1"/>
  <c r="F6" i="4" a="1"/>
  <c r="F6" i="4" s="1"/>
  <c r="H6" i="4" a="1"/>
  <c r="H6" i="4" s="1"/>
  <c r="E6" i="4" a="1"/>
  <c r="E6" i="4" s="1"/>
  <c r="K4" i="4" l="1"/>
  <c r="B11" i="4" s="1"/>
  <c r="D6" i="4" a="1"/>
  <c r="D6" i="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<sst xmlns="http://schemas.openxmlformats.org/spreadsheetml/2006/main" count="442" uniqueCount="273">
  <si>
    <t>Filling in competency appraisals and having good career conversations with your people</t>
  </si>
  <si>
    <t>**Important: Only change cells in red or those where a drop down is provided. Editing any others will corrupt the spreadsheet.**</t>
  </si>
  <si>
    <t>1. Start on the first tab (competencies)</t>
  </si>
  <si>
    <r>
      <t xml:space="preserve">1. Go to the </t>
    </r>
    <r>
      <rPr>
        <b/>
        <sz val="11"/>
        <color theme="1"/>
        <rFont val="Calibri"/>
        <family val="2"/>
        <scheme val="minor"/>
      </rPr>
      <t>first tab</t>
    </r>
    <r>
      <rPr>
        <sz val="11"/>
        <color theme="1"/>
        <rFont val="Calibri"/>
        <family val="2"/>
        <scheme val="minor"/>
      </rPr>
      <t xml:space="preserve"> (in red) for your division (e.g. Finance, Internal Audit, HR, Technology).</t>
    </r>
  </si>
  <si>
    <r>
      <t xml:space="preserve">2. At the top, use the </t>
    </r>
    <r>
      <rPr>
        <b/>
        <sz val="11"/>
        <color theme="1"/>
        <rFont val="Calibri"/>
        <family val="2"/>
        <scheme val="minor"/>
      </rPr>
      <t>role dropdown</t>
    </r>
    <r>
      <rPr>
        <sz val="11"/>
        <color theme="1"/>
        <rFont val="Calibri"/>
        <family val="2"/>
        <scheme val="minor"/>
      </rPr>
      <t xml:space="preserve"> to choose the role you are rating.</t>
    </r>
  </si>
  <si>
    <t>(Roles are used instead of names so the template stays stable over time)</t>
  </si>
  <si>
    <t>3. For that division you will see:</t>
  </si>
  <si>
    <t>8 core competencies (Technology has 9).</t>
  </si>
  <si>
    <r>
      <t xml:space="preserve">Each competency has 3 levels: </t>
    </r>
    <r>
      <rPr>
        <b/>
        <sz val="11"/>
        <color theme="1"/>
        <rFont val="Calibri"/>
        <family val="2"/>
        <scheme val="minor"/>
      </rPr>
      <t>Novice, Practitioner, Expert</t>
    </r>
    <r>
      <rPr>
        <sz val="11"/>
        <color theme="1"/>
        <rFont val="Calibri"/>
        <family val="2"/>
        <scheme val="minor"/>
      </rPr>
      <t>, colour‑coded.</t>
    </r>
  </si>
  <si>
    <t>For each level you have:</t>
  </si>
  <si>
    <t>What do I need to do?</t>
  </si>
  <si>
    <t>How will I know that I am successful?</t>
  </si>
  <si>
    <t>What behaviours or qualities will make me successful?</t>
  </si>
  <si>
    <t>Desired behaviours from our leadership model that that most highly correlated and should be in evidence at that level and for that specific competency</t>
  </si>
  <si>
    <t>**Use this page to understand the agreed standards for the role before you rate anyone**</t>
  </si>
  <si>
    <t>2. Rate each competency</t>
  </si>
  <si>
    <r>
      <t xml:space="preserve">1. Staying on the first tab, scroll across to the </t>
    </r>
    <r>
      <rPr>
        <b/>
        <sz val="11"/>
        <color theme="1"/>
        <rFont val="Calibri"/>
        <family val="2"/>
        <scheme val="minor"/>
      </rPr>
      <t>right‑hand RATING column (Column I)</t>
    </r>
  </si>
  <si>
    <t>2. For each competency, read the descriptions for Novice, Practitioner and Expert.</t>
  </si>
  <si>
    <r>
      <t xml:space="preserve">3. Use the dropdown at the end of the row to select the level that </t>
    </r>
    <r>
      <rPr>
        <b/>
        <sz val="11"/>
        <color theme="1"/>
        <rFont val="Calibri"/>
        <family val="2"/>
        <scheme val="minor"/>
      </rPr>
      <t>best reflects performance over this review period</t>
    </r>
    <r>
      <rPr>
        <sz val="11"/>
        <color theme="1"/>
        <rFont val="Calibri"/>
        <family val="2"/>
        <scheme val="minor"/>
      </rPr>
      <t>.  to justify your decisions.</t>
    </r>
  </si>
  <si>
    <r>
      <t xml:space="preserve">4. Work down the page until you have chosen a level for </t>
    </r>
    <r>
      <rPr>
        <b/>
        <sz val="11"/>
        <color theme="1"/>
        <rFont val="Calibri"/>
        <family val="2"/>
        <scheme val="minor"/>
      </rPr>
      <t>every competency</t>
    </r>
    <r>
      <rPr>
        <sz val="11"/>
        <color theme="1"/>
        <rFont val="Calibri"/>
        <family val="2"/>
        <scheme val="minor"/>
      </rPr>
      <t xml:space="preserve"> for that role.</t>
    </r>
  </si>
  <si>
    <t>**It's important to base your rating on evidence from the year (work delivered, feedback, behaviours), not only overall impressions**</t>
  </si>
  <si>
    <t>3. Save the ratings to the role tab</t>
  </si>
  <si>
    <r>
      <t xml:space="preserve">1. When you have finished rating that role on the first tab, press the </t>
    </r>
    <r>
      <rPr>
        <b/>
        <sz val="11"/>
        <color theme="1"/>
        <rFont val="Calibri"/>
        <family val="2"/>
        <scheme val="minor"/>
      </rPr>
      <t>blue “Save Ratings”</t>
    </r>
    <r>
      <rPr>
        <sz val="11"/>
        <color theme="1"/>
        <rFont val="Calibri"/>
        <family val="2"/>
        <scheme val="minor"/>
      </rPr>
      <t xml:space="preserve"> button at the bottom.</t>
    </r>
  </si>
  <si>
    <t>2. The system will:</t>
  </si>
  <si>
    <r>
      <t xml:space="preserve">Copy your ratings into </t>
    </r>
    <r>
      <rPr>
        <b/>
        <sz val="11"/>
        <color theme="1"/>
        <rFont val="Calibri"/>
        <family val="2"/>
        <scheme val="minor"/>
      </rPr>
      <t>row 2</t>
    </r>
    <r>
      <rPr>
        <sz val="11"/>
        <color theme="1"/>
        <rFont val="Calibri"/>
        <family val="2"/>
        <scheme val="minor"/>
      </rPr>
      <t xml:space="preserve"> of the relevant role tab.</t>
    </r>
  </si>
  <si>
    <t>Show you in row 3 the role requirement (derived from final role-level mapping tab in every workbook already completed by section chiefs) so you can see gap b/w current &amp; required</t>
  </si>
  <si>
    <t xml:space="preserve">3. Each time you complete a rating for a person in a role, go to the relevant role tab to check that row 2 is now populated correctly. If not, please contact HR. </t>
  </si>
  <si>
    <t>**For each role you are appraising, always go back to the first red tab and use the drop down to select the role and repeat this process for any other roles you need to rate**</t>
  </si>
  <si>
    <t>4. Complete the role tab for each person</t>
  </si>
  <si>
    <r>
      <t xml:space="preserve">On each </t>
    </r>
    <r>
      <rPr>
        <b/>
        <sz val="11"/>
        <color theme="1"/>
        <rFont val="Calibri"/>
        <family val="2"/>
        <scheme val="minor"/>
      </rPr>
      <t>role tab</t>
    </r>
    <r>
      <rPr>
        <sz val="11"/>
        <color theme="1"/>
        <rFont val="Calibri"/>
        <family val="2"/>
        <scheme val="minor"/>
      </rPr>
      <t>:</t>
    </r>
  </si>
  <si>
    <r>
      <t xml:space="preserve">1. Fill in the </t>
    </r>
    <r>
      <rPr>
        <b/>
        <sz val="11"/>
        <color theme="1"/>
        <rFont val="Calibri"/>
        <family val="2"/>
        <scheme val="minor"/>
      </rPr>
      <t>grey cells at the top left</t>
    </r>
    <r>
      <rPr>
        <sz val="11"/>
        <color theme="1"/>
        <rFont val="Calibri"/>
        <family val="2"/>
        <scheme val="minor"/>
      </rPr>
      <t>:</t>
    </r>
  </si>
  <si>
    <t>Employee name.</t>
  </si>
  <si>
    <t>Current role.</t>
  </si>
  <si>
    <t>Appraisal date.</t>
  </si>
  <si>
    <t>5. Draft a Career Development Plan</t>
  </si>
  <si>
    <t>This section has 3 parts and is where you write more qualitatively about your assessment of your people's performance, development needs and career goals.</t>
  </si>
  <si>
    <t xml:space="preserve"> This will be  discussed with them during the meeting. </t>
  </si>
  <si>
    <t>1. Development Actions (row 7 in red)</t>
  </si>
  <si>
    <t xml:space="preserve">In row 7, provide some ideas for tangible, specific actions they could take to improve their level of competence in that area. </t>
  </si>
  <si>
    <t>2. Career Pathway Summary (bottom left)</t>
  </si>
  <si>
    <t>In the Career Pathway Summary area at the bottom left of each role tab, fill in the text where some red example text has been given before your appraisal meeting:</t>
  </si>
  <si>
    <t xml:space="preserve">Use this to discuss, refine and agree with your employee an agreed development plan furing the meeting. </t>
  </si>
  <si>
    <t xml:space="preserve">They are as follows: </t>
  </si>
  <si>
    <t>1. Competencies at Target Level / Developing</t>
  </si>
  <si>
    <t>Summarise how many of the competencies are at or above target, and where development is still needed.</t>
  </si>
  <si>
    <t>2. Most Critical Gaps</t>
  </si>
  <si>
    <t>Briefly explain the most important gaps to close for this person to be fully effective in this role or ready for the next one.</t>
  </si>
  <si>
    <t>3. Readiness for “next” role</t>
  </si>
  <si>
    <t>Please use drop down to give your assessment of their readiness</t>
  </si>
  <si>
    <t>4. Recommended Development Focus – Technical</t>
  </si>
  <si>
    <t>Note 2–3 technical or functional priorities (projects, skills, exposure).</t>
  </si>
  <si>
    <t>5. Recommended Development Focus – Behavioural</t>
  </si>
  <si>
    <t xml:space="preserve">Usually the target Zenger Folkman (ZF) behaviours in row 6 cluster around some themes so think about what they can do behaviourally to start showing them. </t>
  </si>
  <si>
    <t>(Zenger Folkman is a leadership company who have provided a behavioural leadership model we are using to assess leadership potential throughout GCGRA).</t>
  </si>
  <si>
    <t>6. Potential next roles (12–18 months)</t>
  </si>
  <si>
    <t>Suggest realistic next roles that fit their strengths, motivation and performance in the given period.</t>
  </si>
  <si>
    <t>6. Potential next roles (18-36 months)</t>
  </si>
  <si>
    <t>Suggest stretch goals that could be open to them in the given period.</t>
  </si>
  <si>
    <t>**Keep this section short and specific, using concrete examples where possible.**</t>
  </si>
  <si>
    <t>6. Assessio career conversation (bottom right)</t>
  </si>
  <si>
    <r>
      <rPr>
        <b/>
        <sz val="11"/>
        <color theme="1"/>
        <rFont val="Calibri"/>
        <family val="2"/>
        <scheme val="minor"/>
      </rPr>
      <t xml:space="preserve">Opposite the Career Pathway Summary </t>
    </r>
    <r>
      <rPr>
        <sz val="11"/>
        <color theme="1"/>
        <rFont val="Calibri"/>
        <family val="2"/>
        <scheme val="minor"/>
      </rPr>
      <t>you will see the Assessio career conversation prompts.</t>
    </r>
  </si>
  <si>
    <t>These are for a short, reflective discussion about how the person’s Assessio profile links to their role, development and future career.</t>
  </si>
  <si>
    <t>All employees will be asked to complete this section and bring it with their Assessio profiles to the meeting on a laptop or printed out and discuss with you:</t>
  </si>
  <si>
    <t>1. Assessio insights – what I learned about myself</t>
  </si>
  <si>
    <t>What the person discovered about their energies (what they prefer to do, how they seek to create impact and why it is important to them) from their Assessio profile.</t>
  </si>
  <si>
    <t>2. How can I contribute best in this role?</t>
  </si>
  <si>
    <t>How their strengths and preferences can be used more intentionally in their role over the next year.</t>
  </si>
  <si>
    <t>3. Using Assessio to work better with others</t>
  </si>
  <si>
    <t>How they are using their own profile and those of colleagues to work better together (e.g. pairing strengths, balancing styles).</t>
  </si>
  <si>
    <t>4. Using Assessio on projects</t>
  </si>
  <si>
    <t>Can they provide examples where they used Assessio insights when planning or delivering a project, and what they learned.</t>
  </si>
  <si>
    <t>5. Applying Assessio insights in future</t>
  </si>
  <si>
    <t>1–3 things they will do differently in how they lead, collaborate or support others, and any support they need.</t>
  </si>
  <si>
    <t>**This section should be written in simple language and ideally co‑owned by the manager and the individual during the appraisal conversation.**</t>
  </si>
  <si>
    <t>7. General good practice</t>
  </si>
  <si>
    <t xml:space="preserve">Save the workbook regularly as you go, and make sure each person has their own profile saved as a single file. Serena and Myriam will provide guidance on how files should be saved. </t>
  </si>
  <si>
    <r>
      <t xml:space="preserve">Base ratings and comments on </t>
    </r>
    <r>
      <rPr>
        <b/>
        <sz val="11"/>
        <color rgb="FFFF0000"/>
        <rFont val="Calibri"/>
        <family val="2"/>
        <scheme val="minor"/>
      </rPr>
      <t>evidence</t>
    </r>
    <r>
      <rPr>
        <sz val="11"/>
        <color rgb="FFFF0000"/>
        <rFont val="Calibri"/>
        <family val="2"/>
        <scheme val="minor"/>
      </rPr>
      <t xml:space="preserve"> (examples, feedback, outcomes).</t>
    </r>
  </si>
  <si>
    <t>Use the agreed competency definitions and Zenger Folkman behaviours to support fair, defensible decisions.</t>
  </si>
  <si>
    <r>
      <t xml:space="preserve">Keep narrative comments short but specific enough that someone else reading the sheet understands </t>
    </r>
    <r>
      <rPr>
        <i/>
        <sz val="11"/>
        <color rgb="FFFF0000"/>
        <rFont val="Calibri"/>
        <family val="2"/>
        <scheme val="minor"/>
      </rPr>
      <t>why</t>
    </r>
    <r>
      <rPr>
        <sz val="11"/>
        <color rgb="FFFF0000"/>
        <rFont val="Calibri"/>
        <family val="2"/>
        <scheme val="minor"/>
      </rPr>
      <t xml:space="preserve"> you rated and recommended as you did.</t>
    </r>
  </si>
  <si>
    <t>Novice</t>
  </si>
  <si>
    <t>Role: (please use dropdown)</t>
  </si>
  <si>
    <t>Practitioner</t>
  </si>
  <si>
    <t>Competency Matrix - FCP</t>
  </si>
  <si>
    <t>Head of FCP</t>
  </si>
  <si>
    <t>Expert</t>
  </si>
  <si>
    <t>RATING</t>
  </si>
  <si>
    <t>Competency  Headings</t>
  </si>
  <si>
    <t>Level</t>
  </si>
  <si>
    <t>Comp no.​</t>
  </si>
  <si>
    <t>What do I need to do?​</t>
  </si>
  <si>
    <t>Most applicable Zenger Folkman leadership competencies</t>
  </si>
  <si>
    <t>Use dropdown to select which row most accurately describes performance this review period</t>
  </si>
  <si>
    <t>Technical competency</t>
  </si>
  <si>
    <r>
      <t>Financial Crime Detection &amp; Prevention:</t>
    </r>
    <r>
      <rPr>
        <b/>
        <sz val="11"/>
        <color rgb="FF000000"/>
        <rFont val="Calibri"/>
        <family val="2"/>
        <scheme val="minor"/>
      </rPr>
      <t xml:space="preserve">
Definition: Identify, evaluate and mitigate risks linked to money laundering, terrorist financing, fraud and other financial crimes using investigative, analytical and forensic methods. Develop understanding of GCGRA-identified gaming sector typologies and how they are used in supervisory assessments and operator outreach</t>
    </r>
  </si>
  <si>
    <t>N</t>
  </si>
  <si>
    <t>Learn GCGRA suspicious activity processes, help with simple case admin, observe meetings, follow instructions closely</t>
  </si>
  <si>
    <t>Completes routine tasks, asks questions, feedback from supervisor positive</t>
  </si>
  <si>
    <t>Eager, careful, asks for help</t>
  </si>
  <si>
    <t>Technical/Professional Acumen; Learning Agility; Displays High Integrity and Honesty</t>
  </si>
  <si>
    <t>P</t>
  </si>
  <si>
    <t>Handle low-risk cases, use detection tools as rules evolve, share findings, escalate when unsure</t>
  </si>
  <si>
    <t>Detects issues in time, trusted to work independently on simple cases</t>
  </si>
  <si>
    <t>Responsible, analytic, team focused</t>
  </si>
  <si>
    <t>Learning Agility; Drives for Results; Builds Relationships</t>
  </si>
  <si>
    <t>E</t>
  </si>
  <si>
    <t>Lead detection strategy, anticipate new crime types, mentor others, represent FCP externally</t>
  </si>
  <si>
    <t>Sets external standards, innovations recognised, juniors seek advice</t>
  </si>
  <si>
    <t>Strategic, role model, horizon scanner</t>
  </si>
  <si>
    <t>Develops Strategic Perspective; Inspires and Motivates Others; Champions Change</t>
  </si>
  <si>
    <r>
      <t xml:space="preserve">Research &amp; Risk Identification From Reporting: </t>
    </r>
    <r>
      <rPr>
        <b/>
        <sz val="11"/>
        <color rgb="FF000000"/>
        <rFont val="Calibri"/>
        <family val="2"/>
        <scheme val="minor"/>
      </rPr>
      <t xml:space="preserve">
Definition: Independenty assess straightforward supervisory cases, apply estanlished typologies with growing judgement, escalating only when issues fall outside existing guidance</t>
    </r>
  </si>
  <si>
    <t>Collate data, notice paperwork gaps, help with desk research</t>
  </si>
  <si>
    <t>Data reliable and filed, contributions valued</t>
  </si>
  <si>
    <t>Helpful, attentive, thorough</t>
  </si>
  <si>
    <t>Technical/Professional Acumen; Drives for Results; Collaboration and Teamwork</t>
  </si>
  <si>
    <t>Analyse reports, spot patterns, brief team, grow networks</t>
  </si>
  <si>
    <t>Findings used in projects, fewer issues missed</t>
  </si>
  <si>
    <t>Inquisitive, shares insight, networks</t>
  </si>
  <si>
    <t>Makes Decisions; Learning Agility; Communicates Powerfully and Prolifically</t>
  </si>
  <si>
    <t>Lead research, build risk models, forecast sector threats, brief external forums</t>
  </si>
  <si>
    <t>GCGRA cited for best practice, sector risk forecasts improve</t>
  </si>
  <si>
    <t>Visionary, persuasive, insight driven</t>
  </si>
  <si>
    <t>Develops Strategic Perspective; Champions Change; Inspires and Motivates Others</t>
  </si>
  <si>
    <r>
      <t xml:space="preserve">Inspection, Audit &amp; Supervision Support: </t>
    </r>
    <r>
      <rPr>
        <b/>
        <sz val="11"/>
        <color rgb="FF000000"/>
        <rFont val="Calibri"/>
        <family val="2"/>
        <scheme val="minor"/>
      </rPr>
      <t xml:space="preserve">
Definition: Support supervision teams in first audits and examinations with subject matter expertise. Assist in onsite and offsite inspections, offer guidance in complex scenarios and help detect compliance failures or gaps, sharing knowledge while providing practical support during regulator visits</t>
    </r>
  </si>
  <si>
    <t>File documents, attend audits as observer, take notes, ask for help on procedures</t>
  </si>
  <si>
    <t>Admin accurate, trusted to ask for help</t>
  </si>
  <si>
    <t>Punctual, organised, receptive</t>
  </si>
  <si>
    <t>Technical/Professional Acumen; Collaboration and Teamwork; Learning Agility</t>
  </si>
  <si>
    <t>Run sections of basic audits, draft findings, walk through processes with operators</t>
  </si>
  <si>
    <t>Feedback shows improvement, less oversight needed</t>
  </si>
  <si>
    <t>Clear communicator, thorough, constructive</t>
  </si>
  <si>
    <t>Makes Decisions; Builds Relationships; Drives for Results</t>
  </si>
  <si>
    <t>Lead major audits, design new practices, train others, represent FCP at senior level</t>
  </si>
  <si>
    <t>External praise, team ready for new audit types</t>
  </si>
  <si>
    <t>Authority, skilled presenter, consistent</t>
  </si>
  <si>
    <r>
      <t xml:space="preserve">Supporting Enforcement As A SME: </t>
    </r>
    <r>
      <rPr>
        <b/>
        <sz val="11"/>
        <color rgb="FF000000"/>
        <rFont val="Calibri"/>
        <family val="2"/>
        <scheme val="minor"/>
      </rPr>
      <t xml:space="preserve">
Definition: Partner with enforcement teams as a specialist, review findings and recommend proportionate action, draft documentation for cases and contribute analysis especially for severity assessment of financial crime breaches and complex investigations</t>
    </r>
  </si>
  <si>
    <t>Manage evidence logs, shadow meetings, record facts, follow direction</t>
  </si>
  <si>
    <t>Tasks completed, accuracy improves, feedback positive</t>
  </si>
  <si>
    <t>Conscientious, discreet, asks for guidance</t>
  </si>
  <si>
    <t>Technical/Professional Acumen; Takes Initiative; Displays High Integrity and Honesty</t>
  </si>
  <si>
    <t>Write draft reports, propose simple actions, explain rationale</t>
  </si>
  <si>
    <t>Reports clear, decisions supported, input relied upon</t>
  </si>
  <si>
    <t>Analytical, careful, diplomatic</t>
  </si>
  <si>
    <t>Builds Relationships; Makes Decisions; Drives for Results</t>
  </si>
  <si>
    <t>Set enforcement protocols, lead high-profile cases, advise cross-functionally</t>
  </si>
  <si>
    <t>Regulator seen as fair and clear, sector recognises standards</t>
  </si>
  <si>
    <t>Trusted, resilient, big picture thinker</t>
  </si>
  <si>
    <t>Champions Change; Develops Strategic Perspective; Inspires and Motivates Others</t>
  </si>
  <si>
    <r>
      <t xml:space="preserve">Outreach, Education &amp; Guidance: </t>
    </r>
    <r>
      <rPr>
        <b/>
        <sz val="11"/>
        <color rgb="FF000000"/>
        <rFont val="Calibri"/>
        <family val="2"/>
        <scheme val="minor"/>
      </rPr>
      <t xml:space="preserve">
Definition: Deliver industry outreach, education sessions and guidance workshops for operators, management and other audiences. Develop accessible materials, promote best practice and address unique risks in the gaming industry</t>
    </r>
  </si>
  <si>
    <t>Attend workshops, help with training material, ask presenters for feedback</t>
  </si>
  <si>
    <t>Joins in, completes quizzes, starts to answer peer questions</t>
  </si>
  <si>
    <t>Engaged, open, tries new tasks</t>
  </si>
  <si>
    <t>Learning Agility; Communicates Powerfully and Prolifically; Collaboration and Teamwork</t>
  </si>
  <si>
    <t>Deliver group briefings with support, update FAQs, answer basic operator questions</t>
  </si>
  <si>
    <t>Operators remember key messages, engagement up</t>
  </si>
  <si>
    <t>Clear, encouraging, supportive</t>
  </si>
  <si>
    <t>Inspires and Motivates Others; Develops Others; Makes Decisions</t>
  </si>
  <si>
    <t>Lead guidance rollouts, represent GCGRA publicly, adapt for diverse audiences</t>
  </si>
  <si>
    <t>GCGRA leader in outreach, cited for education</t>
  </si>
  <si>
    <t>Ambitious, empowering, inclusive</t>
  </si>
  <si>
    <r>
      <t xml:space="preserve">International Co-Operation &amp; Relationship Management: </t>
    </r>
    <r>
      <rPr>
        <b/>
        <sz val="11"/>
        <color rgb="FF000000"/>
        <rFont val="Calibri"/>
        <family val="2"/>
        <scheme val="minor"/>
      </rPr>
      <t xml:space="preserve">
Definition: Build links with counterparts in other jurisdictions, join cross-border investigations and global conferences, contribute to working groups and foster intelligence flows and harmonisation with regulators and law enforcement partners</t>
    </r>
  </si>
  <si>
    <t>Keep basic contact logs, attend introductory meetings with supervisor, listen and summarise discussions</t>
  </si>
  <si>
    <t>Communications are logged, actions are consistent, team relies for support tasks</t>
  </si>
  <si>
    <t>Professional, approachable, respectful</t>
  </si>
  <si>
    <t>Builds Relationships; Customer and External Focus; Learning Agility</t>
  </si>
  <si>
    <t>Maintain international contacts with minimal guidance, help with joint projects, participate in calls</t>
  </si>
  <si>
    <t>Projects meet deadlines, peers request support</t>
  </si>
  <si>
    <t>Responsible, network-builder, adaptable</t>
  </si>
  <si>
    <t>Builds Relationships; Collaboration and Teamwork; Makes Decisions</t>
  </si>
  <si>
    <t>Negotiate partnerships, represent UAE in major forums, set global FCP agenda</t>
  </si>
  <si>
    <t>Regulator drives global standards, is a valued leader</t>
  </si>
  <si>
    <t>Diplomatic, savvy, highly networked</t>
  </si>
  <si>
    <r>
      <t xml:space="preserve">Policy &amp; Procedure Drafting For Diverse Users: </t>
    </r>
    <r>
      <rPr>
        <b/>
        <sz val="11"/>
        <color rgb="FF000000"/>
        <rFont val="Calibri"/>
        <family val="2"/>
        <scheme val="minor"/>
      </rPr>
      <t xml:space="preserve">
Definition: Draft and revise policies, procedures and guidance for management, operators, public and regulators. Present recommendations and compliance materials clearly, balancing enforcement needs with market reality</t>
    </r>
  </si>
  <si>
    <t>Format documents, circulate checklists, review team edits</t>
  </si>
  <si>
    <t>Docs up to date, audits positive</t>
  </si>
  <si>
    <t>Reliable, careful, process minded</t>
  </si>
  <si>
    <t>Technical/Professional Acumen; Drives for Results; Makes Decisions</t>
  </si>
  <si>
    <t>Draft policy sections with feedback, propose amendments, seek improvements</t>
  </si>
  <si>
    <t>Changes adopted, policies clear to users</t>
  </si>
  <si>
    <t>Solution focused, open to critique, thorough</t>
  </si>
  <si>
    <t>Communicates Powerfully and Prolifically; Builds Relationships; Champions Change</t>
  </si>
  <si>
    <t>Lead policy reform, anticipate legal and market shifts, gain industry support</t>
  </si>
  <si>
    <t>Policies cited, targets met</t>
  </si>
  <si>
    <t>Visionary, pragmatic, persuasive</t>
  </si>
  <si>
    <r>
      <t xml:space="preserve">Technology &amp; Innovation In FCP: </t>
    </r>
    <r>
      <rPr>
        <b/>
        <sz val="11"/>
        <color rgb="FF000000"/>
        <rFont val="Calibri"/>
        <family val="2"/>
        <scheme val="minor"/>
      </rPr>
      <t xml:space="preserve">
Definition: Lead adoption of regtech, AI and technology tools to prevent financial crime, monitor criminal innovation using crypto and illegal operators and champion projects with technologists, enforcement and regulatory teams. Support learning and readiness for future digital threats</t>
    </r>
  </si>
  <si>
    <t>Use core IT systems, test new tools, report bugs to IT, follow user guidelines</t>
  </si>
  <si>
    <t>Fixes tested, suggestions noted, confidence grows</t>
  </si>
  <si>
    <t>Patient, tech-curious, learns from feedback</t>
  </si>
  <si>
    <t>Learning Agility; Technical/Professional Acumen; Drives for Results</t>
  </si>
  <si>
    <t>Trial new analytics, suggest upgrades, present regtech ideas for team</t>
  </si>
  <si>
    <t>Ideas tested, team uptake improves</t>
  </si>
  <si>
    <t>Proactive, creative, influencer</t>
  </si>
  <si>
    <t>Champions Change; Makes Decisions; Learning Agility</t>
  </si>
  <si>
    <t>Set digital strategy for FCP, lead AI and blockchain adaptation, future proof team</t>
  </si>
  <si>
    <t>GCGRA cited as digital leader, efficiency up</t>
  </si>
  <si>
    <t>Insightful, creative, disrupter</t>
  </si>
  <si>
    <t>EMPLOYEE PROFILE EXAMPLE</t>
  </si>
  <si>
    <t>Please complete below</t>
  </si>
  <si>
    <t>Employee Name:</t>
  </si>
  <si>
    <t>Amin</t>
  </si>
  <si>
    <t>Current Level</t>
  </si>
  <si>
    <t>Current Role:</t>
  </si>
  <si>
    <t>Role Requirement</t>
  </si>
  <si>
    <t xml:space="preserve">Overall Performance Level: </t>
  </si>
  <si>
    <t>Gap</t>
  </si>
  <si>
    <t xml:space="preserve">Appraisal Date: </t>
  </si>
  <si>
    <t>Current ZF Level</t>
  </si>
  <si>
    <t>Key ZF Behaviours (Target)</t>
  </si>
  <si>
    <t>Development Actions</t>
  </si>
  <si>
    <t>Lead cross-functional working group; mentor 1 junior analyst</t>
  </si>
  <si>
    <t>Lead audit liaison; propose 2 control improvements</t>
  </si>
  <si>
    <t>Champion 1 automation initiative; train team on new tools</t>
  </si>
  <si>
    <t>Take lead on Q1 tax reconciliation; simplify process</t>
  </si>
  <si>
    <t>Maintain strength; mentor junior in forecasting</t>
  </si>
  <si>
    <t>Design 1 new control framework; review policy compliance</t>
  </si>
  <si>
    <t>Lead variance analysis for Board; present monthly insights</t>
  </si>
  <si>
    <t>Co-lead annual budget; lead scenario planning for next year</t>
  </si>
  <si>
    <t>CAREER PATHWAY SUMMARY (pls complete commentary below, example text given for guidance)</t>
  </si>
  <si>
    <t>ASSESSIO CAREER CONVERSATION</t>
  </si>
  <si>
    <t>Competencies at Target Level or exceeded</t>
  </si>
  <si>
    <t>Assession Insights - what I learned about myself</t>
  </si>
  <si>
    <t>What did you discover about your strengths, risks and motivators from your Assessio profile? What felt most accurate or surprising?</t>
  </si>
  <si>
    <t xml:space="preserve">I have a plan for everything in life and always maintian long term goals on a strategic level. this is also reflected in my work. the assessment caputred this somehow Your superpower lies in your ability to envision long-term strategies and drive ambitious goals, which can significantly impact your team's success. Where I need to improve which is also reflected in real life is informal relationship building and tactical day to day matters rather than strategic objectives.
I felt the assessment was quite accurate specifically to my motivations. The assessment said that I am driven by a strong sense of achievement and a desire to develop others. And that I enjoy setting ambitious goals and taking calculated risks to reach them. The assessment also commented my ability to   synthesize complex information. The assessment also pointed out that its important for me to establish accountability including for my self which is important for goal achievement and attainment. </t>
  </si>
  <si>
    <t>Competencies Developing</t>
  </si>
  <si>
    <t>Build and manage a team setting clear and achievable goals - be conscious that other people may need support, feedback and development to perform at your expected standards. This is fundamental to ensure the FCP department remains effective vis-a-vis the growth of the GCGRA.</t>
  </si>
  <si>
    <t xml:space="preserve">How can I contribute best in this role? </t>
  </si>
  <si>
    <t>Based on your profile, how can you add the most value in this role? Which strengths do you want to use more deliberately over the next 12 months?</t>
  </si>
  <si>
    <t>I need to channel my drive through more deliberate stakeholder alignment. I recognise that I may sometimes move faster than the people around me, so I need to balance my ambition with earlier check-ins, clearer expectation-setting, and more intentional relationship-building. I believe this will help me turn my individual impact into broader leadership impact.</t>
  </si>
  <si>
    <t>Most Critical Gaps</t>
  </si>
  <si>
    <t>Technically very strong, at times can have limited impact because perceived as adversarial or not collaborative. To be seen as a leader, need to shift from “strong individual contributor” to “strategic collaborator” who influences peers and senior stakeholders.</t>
  </si>
  <si>
    <t>Using Assessio to work better with others</t>
  </si>
  <si>
    <t>Which colleagues’ profiles have you discussed? How do your strengths, personalities and values complement or differ, and how are you using that to achieve shared objectives?</t>
  </si>
  <si>
    <t>building relationships, interpersonal understanding, teamwork and collaboration, and organisational awareness. Those are the competencies most likely to increase my influence, reduce friction, and help me land ideas more effectively across a wider group.</t>
  </si>
  <si>
    <t>Readiness for “next” role                  (please use dropdown)</t>
  </si>
  <si>
    <t>Not yet in scope</t>
  </si>
  <si>
    <t>Using Assessio on projects</t>
  </si>
  <si>
    <t>Have you used Assessio insights when planning or delivering a project? How did the data shape roles, communication or decision-making, and what did you learn?</t>
  </si>
  <si>
    <t>I naturally leaned into stakeholder-facing moments, decision momentum, and keeping standards high. It also highlighted a risk: I can move faster than alignment. Because of that, I became more deliberate about who owned detailed planning, added clearer check-ins, and made more space for other views before locking decisions. The biggest lesson was that my impact is highest when I pair speed and ambition with stronger collaboration and communication discipline.</t>
  </si>
  <si>
    <t>Recommended Development Focus – Technical</t>
  </si>
  <si>
    <t>Adopt a more strategic view by shifting from task delivery to shaping the department’s role within GCGRA and positioning it as a key player in educating the sector and relevant stakeholders.</t>
  </si>
  <si>
    <t>Applying Assessio insights in future</t>
  </si>
  <si>
    <t>What will you do differently in how you lead, collaborate or support others as a result of these insights? What support do you need from your manager or team?</t>
  </si>
  <si>
    <t>What I need to do differently is slow myself down at a few key moments. I can move fast and be very direct, so I want to spend more time upfront on stakeholder alignment, planning, and understanding how others are landing on an issue before decisions are locked in. I also want to invest more consistently in relationships and collaboration, especially on work that depends on trust and coordination over time</t>
  </si>
  <si>
    <t>Recommended Development Focus – Behavioural</t>
  </si>
  <si>
    <t xml:space="preserve">Need to adopt a more exploratory and collaborative tone to be able to positively influence others. Also needs to be more strategic in assessing the environment and context to be more effective. </t>
  </si>
  <si>
    <t>Potential next roles (12–18 months)</t>
  </si>
  <si>
    <t>Enhance Board/senior stakeholders exposure for expanding areas of responsibilities in line with the growth of the GCGRA.</t>
  </si>
  <si>
    <t>Potential next roles (18-36 months)</t>
  </si>
  <si>
    <t xml:space="preserve">As above </t>
  </si>
  <si>
    <t>Name here</t>
  </si>
  <si>
    <t>Write here…e.g. "The profile largely matched how I see myself. The strongest themes were influencing others, resilience and adapting to change, which fits with how I tend to operate in high-pressure or ambiguous situations. What was most useful was the reminder that I bring energy, optimism and calm under pressure, but that these strengths can also create risks if I move too fast, rely too much on verbal influence, or do not adapt my tone enough in more sensitive or formal settings"</t>
  </si>
  <si>
    <t>E.g. "Technical performance is strong in audit standards, planning and controls, with role requirements met or exceeded. The main development need is to show more consistent Head of Internal Audit leadership through others – raising standards, coaching the team and leading visible change – with clearer evidence of Inspires and Motivates Others, Champions Change, Develops Strategic Perspective, Communicates Powerfully and Prolifically and Builds Relationships.</t>
  </si>
  <si>
    <t>Write here…e.g "I add most value when I am helping people stay focused on the purpose of the work, building alignment across different stakeholders and keeping momentum during demanding periods. Over the next 12 months I want to use my strengths in influencing, resilience and adaptability more deliberately to strengthen board and committee dialogue, support the team through change, and create stronger cross-functional engagement around audit priorities. I also want to be more conscious of when the role requires greater precision, formality and follow-through from me personally"</t>
  </si>
  <si>
    <t>E.g. "The key gaps are less about technical capability and more about enterprise leadership. Priority areas are: creating stretch and accountability across the team, setting a clearer future direction for Internal Audit, and deepening influence with senior management and the committee so that engagement more often changes outcomes rather than just informs.</t>
  </si>
  <si>
    <t xml:space="preserve">Write here…e.g. "Discussions about profiles have helped me think more carefully about how different colleagues contribute. I can see that I naturally bring energy, reassurance and collaboration, while others may bring more challenge, detail orientation, caution or structure. That has been helpful in thinking about how to pair people on audits and projects so that my strengths in stakeholder engagement and momentum are balanced by colleagues who bring deeper detail checking, stronger process discipline or more independent challenge where needed."
</t>
  </si>
  <si>
    <t>Ready soon (6-18m)</t>
  </si>
  <si>
    <t xml:space="preserve">Write here…e.g. "I have started using the profile insights more consciously when setting up pieces of work, especially where there are multiple stakeholders, tight deadlines or a need to maintain trust while raising difficult issues. The most useful lesson has been that team effectiveness improves when we are more explicit about who will lead communication, who will challenge assumptions, who will keep delivery on track and who will focus on detail and follow-up. For me personally, the data reinforced the need to complement my strengths in communication and adaptability with stronger discipline around task tracking, documentation and ensuring important details are not lost as work moves forward."
</t>
  </si>
  <si>
    <t>E.g. "Lead a refresh of the audit plan, methodology and reporting to reflect emerging risks, integrated assurance and sector developments. Sponsor one or two concrete improvements in analytics or continuous assurance and ensure these are adopted across the team, demonstrating not just expertise but also innovation and follow-through."</t>
  </si>
  <si>
    <t>Write here…e.g. "Going forward, I want to be more deliberate in using my strengths to lead through influence, calmness and collaboration, while also managing the risks that come with them. In practice, that means slowing down when needed, adapting tone more consciously for sensitive stakeholders, inviting more direct challenge from colleagues and putting tighter disciplines around follow-up, detail and delivery review. The most useful support from my manager and team would be honest feedback on where my style is helping, where it may be too informal or overly optimistic, and where stronger structure would improve impact."</t>
  </si>
  <si>
    <t>E.g. "Focus on being more visible as a change leader who builds strong relationships, develops and stretches the team, communicates a compelling vision for assurance at GCGRA and follows through decisively so important risks and improvements are addressed quickly."</t>
  </si>
  <si>
    <t>E.g. "Broader Head of Governance, Risk and Assurance role, where internal audit capability is combined with stronger enterprise risk and governance leadership."</t>
  </si>
  <si>
    <t>E.g. "Audit and Risk Committee adviser or deputy governance leader pathway, if the candidate strengthens board presence, external credibility and strategic influence beyond the immediate function."</t>
  </si>
  <si>
    <t>Role</t>
  </si>
  <si>
    <t>Financial Crime Detection &amp; Prevention</t>
  </si>
  <si>
    <t>Research &amp; Risk Identification From Reporting</t>
  </si>
  <si>
    <t>Inspection, Audit &amp; Supervision Support</t>
  </si>
  <si>
    <t>Supporting Enforcement As A SME</t>
  </si>
  <si>
    <t>Outreach, Education &amp; Guidance</t>
  </si>
  <si>
    <t>International Co-Operation &amp; Relationship Management</t>
  </si>
  <si>
    <t>Policy &amp; Procedure Drafting For Diverse Users</t>
  </si>
  <si>
    <t>Technology &amp; Innovation In FCP</t>
  </si>
  <si>
    <t>VP, FCP</t>
  </si>
  <si>
    <t>AVP, Manager of FCP</t>
  </si>
  <si>
    <t>James Parsons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</si>
</sst>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5">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8"/>
      <color theme="1"/>
      <name val="Calibri"/>
      <family val="2"/>
    </font>
    <font>
      <sz val="11"/>
      <color rgb="FF9C0006"/>
      <name val="Calibri"/>
      <family val="2"/>
    </font>
    <font>
      <sz val="11"/>
      <color rgb="FF9C5700"/>
      <name val="Calibri"/>
      <family val="2"/>
    </font>
    <font>
      <sz val="11"/>
      <color rgb="FF006100"/>
      <name val="Calibri"/>
      <family val="2"/>
    </font>
    <font>
      <sz val="20"/>
      <color theme="1"/>
      <name val="Calibri"/>
      <family val="2"/>
    </font>
    <font>
      <b/>
      <sz val="11"/>
      <color theme="1"/>
      <name val="Calibri"/>
      <family val="2"/>
    </font>
    <font>
      <b/>
      <sz val="9"/>
      <color rgb="FFFFFFFF"/>
      <name val="Calibri"/>
      <family val="2"/>
    </font>
    <font>
      <b/>
      <sz val="12"/>
      <color rgb="FFFFFFFF"/>
      <name val="Calibri"/>
      <family val="2"/>
    </font>
    <font>
      <b/>
      <sz val="11"/>
      <name val="Calibri"/>
      <family val="2"/>
    </font>
    <font>
      <b/>
      <sz val="11"/>
      <color rgb="FFFFFFFF"/>
      <name val="Calibri"/>
      <family val="2"/>
    </font>
    <font>
      <b/>
      <sz val="11"/>
      <color rgb="FF9C6500"/>
      <name val="Calibri"/>
      <family val="2"/>
    </font>
    <font>
      <i/>
      <sz val="8"/>
      <name val="Calibri"/>
      <family val="2"/>
    </font>
    <font>
      <b/>
      <sz val="18"/>
      <color rgb="FFFF0000"/>
      <name val="Calibri"/>
      <family val="2"/>
    </font>
    <font>
      <b/>
      <sz val="11"/>
      <color theme="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b/>
      <sz val="14"/>
      <color rgb="FF000000"/>
      <name val="Calibri"/>
      <family val="2"/>
      <scheme val="minor"/>
    </font>
    <font>
      <b/>
      <sz val="11"/>
      <color rgb="FF000000"/>
      <name val="Calibri"/>
      <family val="2"/>
      <scheme val="minor"/>
    </font>
    <font>
      <sz val="11"/>
      <color rgb="FFFF0000"/>
      <name val="Calibri"/>
      <family val="2"/>
      <scheme val="minor"/>
    </font>
    <font>
      <i/>
      <sz val="8"/>
      <color rgb="FFFF0000"/>
      <name val="Calibri"/>
      <family val="2"/>
    </font>
    <font>
      <b/>
      <sz val="18"/>
      <color rgb="FFFF0000"/>
      <name val="Calibri"/>
      <family val="2"/>
      <scheme val="minor"/>
    </font>
    <font>
      <b/>
      <sz val="14"/>
      <color rgb="FFFF0000"/>
      <name val="Calibri"/>
      <family val="2"/>
      <scheme val="minor"/>
    </font>
    <font>
      <b/>
      <sz val="11"/>
      <color rgb="FFFF0000"/>
      <name val="Calibri"/>
      <family val="2"/>
      <scheme val="minor"/>
    </font>
    <font>
      <b/>
      <sz val="18"/>
      <color theme="1"/>
      <name val="Calibri"/>
      <family val="2"/>
      <scheme val="minor"/>
    </font>
    <font>
      <i/>
      <sz val="11"/>
      <color rgb="FFFF0000"/>
      <name val="Calibri"/>
      <family val="2"/>
      <scheme val="minor"/>
    </font>
    <font>
      <sz val="11"/>
      <name val="Calibri"/>
      <family val="2"/>
      <scheme val="minor"/>
    </font>
    <font>
      <b/>
      <sz val="11"/>
      <color indexed="8"/>
      <name val="Calibri"/>
      <family val="2"/>
      <scheme val="minor"/>
    </font>
    <font>
      <b/>
      <sz val="10"/>
      <color rgb="FF000000"/>
      <name val="Mont Book"/>
    </font>
    <font>
      <sz val="11"/>
      <name val="Calibri"/>
      <family val="2"/>
    </font>
  </fonts>
  <fills count="15">
    <fill>
      <patternFill patternType="none"/>
    </fill>
    <fill>
      <patternFill patternType="gray125"/>
    </fill>
    <fill>
      <patternFill patternType="solid">
        <fgColor rgb="FFFFC7CE"/>
        <bgColor rgb="FFFFC7CE"/>
      </patternFill>
    </fill>
    <fill>
      <patternFill patternType="solid">
        <fgColor rgb="FFC6EFCE"/>
        <bgColor rgb="FFC6EFCE"/>
      </patternFill>
    </fill>
    <fill>
      <patternFill patternType="solid">
        <fgColor rgb="FFDEEAF6"/>
        <bgColor rgb="FFDEEAF6"/>
      </patternFill>
    </fill>
    <fill>
      <patternFill patternType="solid">
        <fgColor rgb="FF1F4E78"/>
        <bgColor rgb="FF1F4E78"/>
      </patternFill>
    </fill>
    <fill>
      <patternFill patternType="solid">
        <fgColor rgb="FF4472C4"/>
        <bgColor rgb="FF4472C4"/>
      </patternFill>
    </fill>
    <fill>
      <patternFill patternType="solid">
        <fgColor rgb="FFFFEB9C"/>
        <bgColor rgb="FFFFEB9C"/>
      </patternFill>
    </fill>
    <fill>
      <patternFill patternType="solid">
        <fgColor rgb="FFE7E6E6"/>
        <bgColor rgb="FFE7E6E6"/>
      </patternFill>
    </fill>
    <fill>
      <patternFill patternType="solid">
        <fgColor rgb="FFFFC7CE"/>
        <bgColor indexed="64"/>
      </patternFill>
    </fill>
    <fill>
      <patternFill patternType="solid">
        <fgColor rgb="FFFFEB9C"/>
        <bgColor indexed="64"/>
      </patternFill>
    </fill>
    <fill>
      <patternFill patternType="solid">
        <fgColor rgb="FFC6EFCE"/>
        <bgColor indexed="64"/>
      </patternFill>
    </fill>
    <fill>
      <patternFill patternType="solid">
        <fgColor rgb="FFDEEAF6"/>
        <bgColor indexed="64"/>
      </patternFill>
    </fill>
    <fill>
      <patternFill patternType="solid">
        <fgColor theme="6" tint="0.59996337778862885"/>
        <bgColor indexed="64"/>
      </patternFill>
    </fill>
    <fill>
      <patternFill patternType="solid">
        <fgColor rgb="FFFFFFFF"/>
        <bgColor rgb="FF000000"/>
      </patternFill>
    </fill>
  </fills>
  <borders count="15">
    <border>
      <left/>
      <right/>
      <top/>
      <bottom/>
      <diagonal/>
    </border>
    <border>
      <left/>
      <right/>
      <top/>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000000"/>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CCCCCC"/>
      </left>
      <right style="medium">
        <color rgb="FF000000"/>
      </right>
      <top style="medium">
        <color rgb="FFCCCCCC"/>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s>
  <cellStyleXfs count="3">
    <xf numFmtId="0" fontId="0" fillId="0" borderId="0"/>
    <xf numFmtId="0" fontId="4" fillId="0" borderId="1"/>
    <xf numFmtId="0" fontId="3" fillId="0" borderId="1"/>
  </cellStyleXfs>
  <cellXfs count="66">
    <xf numFmtId="0" fontId="0" fillId="0" borderId="0" xfId="0"/>
    <xf numFmtId="0" fontId="5" fillId="0" borderId="0" xfId="0" applyFont="1" applyAlignment="1">
      <alignment horizontal="left"/>
    </xf>
    <xf numFmtId="0" fontId="6" fillId="2" borderId="1" xfId="0" applyFont="1" applyFill="1" applyBorder="1"/>
    <xf numFmtId="0" fontId="8" fillId="3" borderId="1" xfId="0" applyFont="1" applyFill="1" applyBorder="1"/>
    <xf numFmtId="0" fontId="10" fillId="4" borderId="3" xfId="0" applyFont="1" applyFill="1" applyBorder="1" applyAlignment="1">
      <alignment horizontal="left" vertical="center" wrapText="1"/>
    </xf>
    <xf numFmtId="0" fontId="6" fillId="2" borderId="3" xfId="0" applyFont="1" applyFill="1" applyBorder="1" applyAlignment="1">
      <alignment horizontal="left" vertical="center" wrapText="1"/>
    </xf>
    <xf numFmtId="0" fontId="8" fillId="3" borderId="3" xfId="0" applyFont="1" applyFill="1" applyBorder="1" applyAlignment="1">
      <alignment horizontal="left" vertical="center" wrapText="1"/>
    </xf>
    <xf numFmtId="0" fontId="11" fillId="5" borderId="5" xfId="0" applyFont="1" applyFill="1" applyBorder="1" applyAlignment="1">
      <alignment horizontal="center" vertical="center" wrapText="1"/>
    </xf>
    <xf numFmtId="0" fontId="13" fillId="0" borderId="0" xfId="0" applyFont="1"/>
    <xf numFmtId="0" fontId="15" fillId="7" borderId="5" xfId="0" applyFont="1" applyFill="1" applyBorder="1" applyAlignment="1">
      <alignment horizontal="left" vertical="top" wrapText="1"/>
    </xf>
    <xf numFmtId="0" fontId="16" fillId="8" borderId="5" xfId="0" applyFont="1" applyFill="1" applyBorder="1" applyAlignment="1">
      <alignment horizontal="left" vertical="top" wrapText="1"/>
    </xf>
    <xf numFmtId="0" fontId="0" fillId="0" borderId="4" xfId="0" applyBorder="1"/>
    <xf numFmtId="0" fontId="5" fillId="0" borderId="2" xfId="0" applyFont="1" applyBorder="1" applyAlignment="1">
      <alignment horizontal="left"/>
    </xf>
    <xf numFmtId="0" fontId="0" fillId="0" borderId="2" xfId="0" applyBorder="1"/>
    <xf numFmtId="0" fontId="10" fillId="0" borderId="3" xfId="0" applyFont="1" applyBorder="1" applyAlignment="1">
      <alignment horizontal="left" vertical="center" wrapText="1"/>
    </xf>
    <xf numFmtId="0" fontId="8" fillId="0" borderId="3" xfId="0" applyFont="1" applyBorder="1" applyAlignment="1">
      <alignment horizontal="left" vertical="center" wrapText="1"/>
    </xf>
    <xf numFmtId="0" fontId="8" fillId="0" borderId="3" xfId="0" applyFont="1" applyBorder="1" applyAlignment="1">
      <alignment vertical="center" wrapText="1"/>
    </xf>
    <xf numFmtId="0" fontId="0" fillId="0" borderId="0" xfId="0" applyAlignment="1">
      <alignment vertical="center"/>
    </xf>
    <xf numFmtId="0" fontId="12" fillId="5" borderId="0" xfId="0" applyFont="1" applyFill="1"/>
    <xf numFmtId="0" fontId="17" fillId="0" borderId="2" xfId="0" applyFont="1" applyBorder="1" applyAlignment="1" applyProtection="1">
      <alignment horizontal="left"/>
      <protection locked="0"/>
    </xf>
    <xf numFmtId="0" fontId="0" fillId="0" borderId="0" xfId="0" applyProtection="1">
      <protection locked="0"/>
    </xf>
    <xf numFmtId="0" fontId="0" fillId="7" borderId="5" xfId="0" applyFill="1" applyBorder="1" applyAlignment="1" applyProtection="1">
      <alignment horizontal="left" vertical="top" wrapText="1"/>
      <protection locked="0"/>
    </xf>
    <xf numFmtId="0" fontId="18" fillId="0" borderId="0" xfId="0" applyFont="1" applyAlignment="1">
      <alignment vertical="top"/>
    </xf>
    <xf numFmtId="0" fontId="18" fillId="0" borderId="0" xfId="0" applyFont="1" applyAlignment="1">
      <alignment vertical="top" wrapText="1"/>
    </xf>
    <xf numFmtId="0" fontId="20" fillId="9" borderId="9" xfId="0" applyFont="1" applyFill="1" applyBorder="1" applyAlignment="1">
      <alignment vertical="center" wrapText="1"/>
    </xf>
    <xf numFmtId="0" fontId="21" fillId="10" borderId="10" xfId="0" applyFont="1" applyFill="1" applyBorder="1" applyAlignment="1">
      <alignment vertical="center" wrapText="1"/>
    </xf>
    <xf numFmtId="0" fontId="19" fillId="11" borderId="10" xfId="0" applyFont="1" applyFill="1" applyBorder="1" applyAlignment="1">
      <alignment vertical="center" wrapText="1"/>
    </xf>
    <xf numFmtId="0" fontId="20" fillId="9" borderId="8" xfId="0" applyFont="1" applyFill="1" applyBorder="1" applyAlignment="1">
      <alignment vertical="center" wrapText="1"/>
    </xf>
    <xf numFmtId="0" fontId="21" fillId="10" borderId="11" xfId="0" applyFont="1" applyFill="1" applyBorder="1" applyAlignment="1">
      <alignment vertical="center" wrapText="1"/>
    </xf>
    <xf numFmtId="0" fontId="19" fillId="11" borderId="11" xfId="0" applyFont="1" applyFill="1" applyBorder="1" applyAlignment="1">
      <alignment vertical="center" wrapText="1"/>
    </xf>
    <xf numFmtId="0" fontId="24" fillId="13" borderId="0" xfId="0" applyFont="1" applyFill="1"/>
    <xf numFmtId="0" fontId="25" fillId="8" borderId="5" xfId="0" applyFont="1" applyFill="1" applyBorder="1" applyAlignment="1">
      <alignment horizontal="left" vertical="top" wrapText="1"/>
    </xf>
    <xf numFmtId="0" fontId="26" fillId="0" borderId="1" xfId="2" applyFont="1" applyAlignment="1">
      <alignment vertical="center"/>
    </xf>
    <xf numFmtId="0" fontId="3" fillId="0" borderId="1" xfId="2"/>
    <xf numFmtId="0" fontId="27" fillId="0" borderId="1" xfId="2" applyFont="1"/>
    <xf numFmtId="0" fontId="28" fillId="0" borderId="1" xfId="2" applyFont="1"/>
    <xf numFmtId="0" fontId="29" fillId="0" borderId="1" xfId="2" applyFont="1" applyAlignment="1">
      <alignment vertical="center"/>
    </xf>
    <xf numFmtId="0" fontId="3" fillId="0" borderId="1" xfId="2" applyAlignment="1">
      <alignment horizontal="left" vertical="center" indent="1"/>
    </xf>
    <xf numFmtId="0" fontId="3" fillId="0" borderId="1" xfId="2" applyAlignment="1">
      <alignment horizontal="left" vertical="center" indent="2"/>
    </xf>
    <xf numFmtId="0" fontId="3" fillId="0" borderId="1" xfId="2" applyAlignment="1">
      <alignment horizontal="left" vertical="center" indent="3"/>
    </xf>
    <xf numFmtId="0" fontId="24" fillId="0" borderId="1" xfId="2" applyFont="1"/>
    <xf numFmtId="0" fontId="18" fillId="0" borderId="1" xfId="2" applyFont="1"/>
    <xf numFmtId="0" fontId="18" fillId="0" borderId="1" xfId="2" applyFont="1" applyAlignment="1">
      <alignment horizontal="left" vertical="center" indent="1"/>
    </xf>
    <xf numFmtId="0" fontId="3" fillId="0" borderId="1" xfId="2" applyAlignment="1">
      <alignment vertical="center" wrapText="1"/>
    </xf>
    <xf numFmtId="0" fontId="24" fillId="0" borderId="1" xfId="2" applyFont="1" applyAlignment="1">
      <alignment horizontal="left" vertical="center" indent="1"/>
    </xf>
    <xf numFmtId="0" fontId="32" fillId="0" borderId="0" xfId="0" applyFont="1"/>
    <xf numFmtId="0" fontId="31" fillId="13" borderId="0" xfId="0" applyFont="1" applyFill="1"/>
    <xf numFmtId="14" fontId="31" fillId="13" borderId="0" xfId="0" applyNumberFormat="1" applyFont="1" applyFill="1" applyAlignment="1" applyProtection="1">
      <alignment horizontal="left"/>
      <protection locked="0"/>
    </xf>
    <xf numFmtId="0" fontId="33" fillId="14" borderId="3" xfId="0" applyFont="1" applyFill="1" applyBorder="1" applyAlignment="1">
      <alignment horizontal="center" vertical="center"/>
    </xf>
    <xf numFmtId="0" fontId="7" fillId="7" borderId="1" xfId="0" applyFont="1" applyFill="1" applyBorder="1"/>
    <xf numFmtId="0" fontId="11" fillId="5" borderId="6" xfId="0" applyFont="1" applyFill="1" applyBorder="1" applyAlignment="1">
      <alignment horizontal="center" vertical="center" wrapText="1"/>
    </xf>
    <xf numFmtId="0" fontId="7" fillId="7" borderId="3" xfId="0" applyFont="1" applyFill="1" applyBorder="1" applyAlignment="1">
      <alignment horizontal="left" vertical="center" wrapText="1"/>
    </xf>
    <xf numFmtId="0" fontId="8" fillId="0" borderId="1" xfId="0" applyFont="1" applyBorder="1" applyAlignment="1" applyProtection="1">
      <alignment vertical="center" wrapText="1"/>
      <protection locked="0"/>
    </xf>
    <xf numFmtId="0" fontId="2" fillId="0" borderId="0" xfId="0" applyFont="1"/>
    <xf numFmtId="0" fontId="2" fillId="7" borderId="5" xfId="0" applyFont="1" applyFill="1" applyBorder="1" applyAlignment="1" applyProtection="1">
      <alignment horizontal="left" vertical="top" wrapText="1"/>
      <protection locked="0"/>
    </xf>
    <xf numFmtId="0" fontId="2" fillId="0" borderId="0" xfId="0" applyFont="1" applyAlignment="1">
      <alignment horizontal="left" vertical="center"/>
    </xf>
    <xf numFmtId="0" fontId="34" fillId="0" borderId="1" xfId="0" applyFont="1" applyBorder="1" applyAlignment="1">
      <alignment wrapText="1"/>
    </xf>
    <xf numFmtId="0" fontId="14" fillId="6" borderId="0" xfId="0" applyFont="1" applyFill="1"/>
    <xf numFmtId="0" fontId="31" fillId="0" borderId="0" xfId="0" applyFont="1" applyAlignment="1">
      <alignment horizontal="left" vertical="top" wrapText="1"/>
    </xf>
    <xf numFmtId="0" fontId="0" fillId="0" borderId="7" xfId="0" applyBorder="1" applyAlignment="1" applyProtection="1">
      <alignment horizontal="center" vertical="center"/>
      <protection locked="0"/>
    </xf>
    <xf numFmtId="0" fontId="22" fillId="12" borderId="12" xfId="0" applyFont="1" applyFill="1" applyBorder="1" applyAlignment="1">
      <alignment vertical="center" wrapText="1"/>
    </xf>
    <xf numFmtId="0" fontId="22" fillId="12" borderId="13" xfId="0" applyFont="1" applyFill="1" applyBorder="1" applyAlignment="1">
      <alignment vertical="center" wrapText="1"/>
    </xf>
    <xf numFmtId="0" fontId="22" fillId="12" borderId="14" xfId="0" applyFont="1" applyFill="1" applyBorder="1" applyAlignment="1">
      <alignment vertical="center" wrapText="1"/>
    </xf>
    <xf numFmtId="0" fontId="9" fillId="0" borderId="0" xfId="0" applyFont="1" applyAlignment="1">
      <alignment horizontal="center" vertical="center" textRotation="90"/>
    </xf>
    <xf numFmtId="0" fontId="0" fillId="0" borderId="0" xfId="0"/>
    <xf numFmtId="0" fontId="24" fillId="0" borderId="0" xfId="0" applyFont="1" applyAlignment="1">
      <alignment vertical="top" wrapText="1"/>
    </xf>
  </cellXfs>
  <cellStyles count="3">
    <cellStyle name="Normal" xfId="0" builtinId="0"/>
    <cellStyle name="Normal 2" xfId="1" xr:uid="{5B8FC522-35C9-43D5-8820-300208B49A77}"/>
    <cellStyle name="Normal 3" xfId="2" xr:uid="{1837381C-8A33-4A62-BFB0-5B9E5A6E03C7}"/>
  </cellStyles>
  <dxfs count="68">
    <dxf>
      <font>
        <color rgb="FF9C0006"/>
      </font>
      <fill>
        <patternFill>
          <bgColor rgb="FFFFC7CE"/>
        </patternFill>
      </fill>
    </dxf>
    <dxf>
      <font>
        <color rgb="FF006100"/>
      </font>
      <fill>
        <patternFill>
          <bgColor rgb="FFC6EFCE"/>
        </patternFill>
      </fill>
    </dxf>
    <dxf>
      <font>
        <color theme="5" tint="-0.499984740745262"/>
      </font>
      <fill>
        <patternFill>
          <bgColor rgb="FFFFEAA7"/>
        </patternFill>
      </fill>
    </dxf>
    <dxf>
      <fill>
        <patternFill>
          <bgColor rgb="FFE2FF8F"/>
        </patternFill>
      </fill>
    </dxf>
    <dxf>
      <fill>
        <patternFill>
          <bgColor rgb="FFFFCC81"/>
        </patternFill>
      </fill>
    </dxf>
    <dxf>
      <fill>
        <patternFill>
          <bgColor rgb="FFC6EFCE"/>
        </patternFill>
      </fill>
    </dxf>
    <dxf>
      <font>
        <color rgb="FF00B050"/>
      </font>
      <fill>
        <patternFill>
          <bgColor rgb="FFC6EFCE"/>
        </patternFill>
      </fill>
    </dxf>
    <dxf>
      <fill>
        <patternFill>
          <bgColor rgb="FFEBFFB3"/>
        </patternFill>
      </fill>
    </dxf>
    <dxf>
      <font>
        <color theme="5" tint="-0.24994659260841701"/>
      </font>
      <fill>
        <patternFill>
          <bgColor rgb="FFFFDAA3"/>
        </patternFill>
      </fill>
    </dxf>
    <dxf>
      <fill>
        <patternFill>
          <bgColor rgb="FFFEEFCA"/>
        </patternFill>
      </fill>
    </dxf>
    <dxf>
      <font>
        <color rgb="FF9C0006"/>
      </font>
      <fill>
        <patternFill>
          <bgColor rgb="FFFFC7CE"/>
        </patternFill>
      </fill>
    </dxf>
    <dxf>
      <font>
        <color rgb="FF006100"/>
      </font>
      <fill>
        <patternFill>
          <bgColor rgb="FFC6EFCE"/>
        </patternFill>
      </fill>
    </dxf>
    <dxf>
      <fill>
        <patternFill>
          <bgColor rgb="FFC6EFCE"/>
        </patternFill>
      </fill>
    </dxf>
    <dxf>
      <fill>
        <patternFill>
          <bgColor rgb="FFFFEB9C"/>
        </patternFill>
      </fill>
    </dxf>
    <dxf>
      <font>
        <color theme="4" tint="-0.499984740745262"/>
      </font>
      <fill>
        <patternFill>
          <bgColor theme="8"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C6EFCE"/>
        </patternFill>
      </fill>
    </dxf>
    <dxf>
      <fill>
        <patternFill>
          <bgColor rgb="FFFFEB9C"/>
        </patternFill>
      </fill>
    </dxf>
    <dxf>
      <font>
        <color rgb="FF9C0006"/>
      </font>
      <fill>
        <patternFill>
          <bgColor rgb="FFFFC7CE"/>
        </patternFill>
      </fill>
    </dxf>
    <dxf>
      <font>
        <color rgb="FF006100"/>
      </font>
      <fill>
        <patternFill>
          <bgColor rgb="FFC6EFCE"/>
        </patternFill>
      </fill>
    </dxf>
    <dxf>
      <fill>
        <patternFill>
          <bgColor rgb="FFC6EFCE"/>
        </patternFill>
      </fill>
    </dxf>
    <dxf>
      <fill>
        <patternFill>
          <bgColor rgb="FFFFEB9C"/>
        </patternFill>
      </fill>
    </dxf>
    <dxf>
      <font>
        <color theme="4" tint="-0.499984740745262"/>
      </font>
      <fill>
        <patternFill>
          <bgColor theme="8"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C6EFCE"/>
        </patternFill>
      </fill>
    </dxf>
    <dxf>
      <fill>
        <patternFill>
          <bgColor rgb="FFFFEB9C"/>
        </patternFill>
      </fill>
    </dxf>
    <dxf>
      <font>
        <color rgb="FF800000"/>
      </font>
      <fill>
        <patternFill>
          <bgColor rgb="FFFFC7CE"/>
        </patternFill>
      </fill>
    </dxf>
    <dxf>
      <font>
        <color rgb="FF800000"/>
      </font>
      <fill>
        <patternFill>
          <bgColor rgb="FFFFEB9C"/>
        </patternFill>
      </fill>
    </dxf>
    <dxf>
      <font>
        <color theme="9" tint="-0.499984740745262"/>
      </font>
      <fill>
        <patternFill>
          <bgColor rgb="FFC6EFCE"/>
        </patternFill>
      </fill>
    </dxf>
    <dxf>
      <font>
        <color rgb="FF800000"/>
      </font>
      <fill>
        <patternFill>
          <bgColor rgb="FFFFC7CE"/>
        </patternFill>
      </fill>
    </dxf>
    <dxf>
      <font>
        <color rgb="FF800000"/>
      </font>
      <fill>
        <patternFill>
          <bgColor rgb="FFFFEB9C"/>
        </patternFill>
      </fill>
    </dxf>
    <dxf>
      <font>
        <color theme="9" tint="-0.499984740745262"/>
      </font>
      <fill>
        <patternFill>
          <bgColor rgb="FFC6EFCE"/>
        </patternFill>
      </fill>
    </dxf>
    <dxf>
      <font>
        <color rgb="FF800000"/>
      </font>
      <fill>
        <patternFill>
          <bgColor rgb="FFFFC7CE"/>
        </patternFill>
      </fill>
    </dxf>
    <dxf>
      <font>
        <color rgb="FF800000"/>
      </font>
      <fill>
        <patternFill>
          <bgColor rgb="FFFFEB9C"/>
        </patternFill>
      </fill>
    </dxf>
    <dxf>
      <font>
        <color theme="9" tint="-0.499984740745262"/>
      </font>
      <fill>
        <patternFill>
          <bgColor rgb="FFC6EFCE"/>
        </patternFill>
      </fill>
    </dxf>
    <dxf>
      <font>
        <color rgb="FF800000"/>
      </font>
      <fill>
        <patternFill>
          <bgColor rgb="FFFFC7CE"/>
        </patternFill>
      </fill>
    </dxf>
    <dxf>
      <font>
        <color rgb="FF800000"/>
      </font>
      <fill>
        <patternFill>
          <bgColor rgb="FFFFEB9C"/>
        </patternFill>
      </fill>
    </dxf>
    <dxf>
      <font>
        <color theme="9" tint="-0.499984740745262"/>
      </font>
      <fill>
        <patternFill>
          <bgColor rgb="FFC6EFCE"/>
        </patternFill>
      </fill>
    </dxf>
    <dxf>
      <font>
        <color rgb="FF800000"/>
      </font>
      <fill>
        <patternFill>
          <bgColor rgb="FFFFC7CE"/>
        </patternFill>
      </fill>
    </dxf>
    <dxf>
      <font>
        <color rgb="FF800000"/>
      </font>
      <fill>
        <patternFill>
          <bgColor rgb="FFFFEB9C"/>
        </patternFill>
      </fill>
    </dxf>
    <dxf>
      <font>
        <color theme="9" tint="-0.499984740745262"/>
      </font>
      <fill>
        <patternFill>
          <bgColor rgb="FFC6EFCE"/>
        </patternFill>
      </fill>
    </dxf>
    <dxf>
      <font>
        <color rgb="FF800000"/>
      </font>
      <fill>
        <patternFill>
          <bgColor rgb="FFFFC7CE"/>
        </patternFill>
      </fill>
    </dxf>
    <dxf>
      <font>
        <color rgb="FF800000"/>
      </font>
      <fill>
        <patternFill>
          <bgColor rgb="FFFFEB9C"/>
        </patternFill>
      </fill>
    </dxf>
    <dxf>
      <font>
        <color theme="9" tint="-0.499984740745262"/>
      </font>
      <fill>
        <patternFill>
          <bgColor rgb="FFC6EFCE"/>
        </patternFill>
      </fill>
    </dxf>
    <dxf>
      <font>
        <color rgb="FF800000"/>
      </font>
      <fill>
        <patternFill>
          <bgColor rgb="FFFFC7CE"/>
        </patternFill>
      </fill>
    </dxf>
    <dxf>
      <font>
        <color rgb="FF800000"/>
      </font>
      <fill>
        <patternFill>
          <bgColor rgb="FFFFEB9C"/>
        </patternFill>
      </fill>
    </dxf>
    <dxf>
      <font>
        <color theme="9" tint="-0.499984740745262"/>
      </font>
      <fill>
        <patternFill>
          <bgColor rgb="FFC6EFCE"/>
        </patternFill>
      </fill>
    </dxf>
    <dxf>
      <font>
        <color rgb="FFFF0000"/>
      </font>
    </dxf>
    <dxf>
      <font>
        <color rgb="FF800000"/>
      </font>
      <fill>
        <patternFill>
          <bgColor rgb="FFFFC7CE"/>
        </patternFill>
      </fill>
    </dxf>
    <dxf>
      <font>
        <color rgb="FF800000"/>
      </font>
      <fill>
        <patternFill>
          <bgColor rgb="FFFFEB9C"/>
        </patternFill>
      </fill>
    </dxf>
    <dxf>
      <font>
        <color theme="9" tint="-0.499984740745262"/>
      </font>
      <fill>
        <patternFill>
          <bgColor rgb="FFC6EFCE"/>
        </patternFill>
      </fill>
    </dxf>
    <dxf>
      <font>
        <color rgb="FF9C0006"/>
      </font>
      <fill>
        <patternFill>
          <bgColor rgb="FFFFC7CE"/>
        </patternFill>
      </fill>
    </dxf>
    <dxf>
      <font>
        <color rgb="FF006100"/>
      </font>
      <fill>
        <patternFill>
          <bgColor rgb="FFC6EFCE"/>
        </patternFill>
      </fill>
    </dxf>
    <dxf>
      <fill>
        <patternFill>
          <bgColor rgb="FFC6EFCE"/>
        </patternFill>
      </fill>
    </dxf>
    <dxf>
      <fill>
        <patternFill>
          <bgColor rgb="FFFFEB9C"/>
        </patternFill>
      </fill>
    </dxf>
    <dxf>
      <font>
        <color theme="4" tint="-0.499984740745262"/>
      </font>
      <fill>
        <patternFill>
          <bgColor theme="8"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C6EFCE"/>
        </patternFill>
      </fill>
    </dxf>
    <dxf>
      <fill>
        <patternFill>
          <bgColor rgb="FFFFEB9C"/>
        </patternFill>
      </fill>
    </dxf>
  </dxfs>
  <tableStyles count="0" defaultTableStyle="TableStyleMedium2" defaultPivotStyle="PivotStyleLight16"/>
  <colors>
    <mruColors>
      <color rgb="FFC6EFCE"/>
      <color rgb="FF800000"/>
      <color rgb="FFFFEB9C"/>
      <color rgb="FFFFC7CE"/>
      <color rgb="FFFEEFCA"/>
      <color rgb="FFFFDAA3"/>
      <color rgb="FFEBFFB3"/>
      <color rgb="FFFFCC81"/>
      <color rgb="FFE2FF8F"/>
      <color rgb="FF99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drawings/drawing1.xml><?xml version="1.0" encoding="utf-8"?>
<xdr:wsDr xmlns:xdr="http://schemas.openxmlformats.org/drawingml/2006/spreadsheetDrawing" xmlns:a="http://schemas.openxmlformats.org/drawingml/2006/main">
  <xdr:twoCellAnchor>
    <xdr:from>
      <xdr:col>8</xdr:col>
      <xdr:colOff>196850</xdr:colOff>
      <xdr:row>36</xdr:row>
      <xdr:rowOff>152400</xdr:rowOff>
    </xdr:from>
    <xdr:to>
      <xdr:col>8</xdr:col>
      <xdr:colOff>1250950</xdr:colOff>
      <xdr:row>39</xdr:row>
      <xdr:rowOff>6350</xdr:rowOff>
    </xdr:to>
    <xdr:sp macro="[0]!SaveRatings" textlink="">
      <xdr:nvSpPr>
        <xdr:cNvPr id="2" name="Rectangle 1">
          <a:extLst>
            <a:ext uri="{FF2B5EF4-FFF2-40B4-BE49-F238E27FC236}">
              <a16:creationId xmlns:a16="http://schemas.microsoft.com/office/drawing/2014/main" id="{EACD0AF9-40E6-CC6E-28C4-9983D4175468}"/>
            </a:ext>
          </a:extLst>
        </xdr:cNvPr>
        <xdr:cNvSpPr/>
      </xdr:nvSpPr>
      <xdr:spPr>
        <a:xfrm>
          <a:off x="23799800" y="17887950"/>
          <a:ext cx="1054100" cy="3873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b="1"/>
            <a:t>SAVE RATINGS</a:t>
          </a:r>
        </a:p>
      </xdr:txBody>
    </xdr:sp>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8324D-0FF1-464B-A890-DEBD6E0C921F}">
  <sheetPr codeName="Sheet5">
    <tabColor theme="8" tint="-0.249977111117893"/>
  </sheetPr>
  <dimension ref="A1:R115"/>
  <sheetViews>
    <sheetView workbookViewId="0">
      <selection activeCell="H21" sqref="H21"/>
    </sheetView>
  </sheetViews>
  <sheetFormatPr defaultColWidth="8.7265625" defaultRowHeight="14.5"/>
  <cols>
    <col min="1" max="16384" width="8.7265625" style="33"/>
  </cols>
  <sheetData>
    <row r="1" spans="1:1" ht="23.5">
      <c r="A1" s="32" t="s">
        <v>0</v>
      </c>
    </row>
    <row r="3" spans="1:1" ht="18.5">
      <c r="A3" s="34" t="s">
        <v>1</v>
      </c>
    </row>
    <row r="4" spans="1:1">
      <c r="A4" s="35"/>
    </row>
    <row r="5" spans="1:1" ht="23.5">
      <c r="A5" s="36" t="s">
        <v>2</v>
      </c>
    </row>
    <row r="6" spans="1:1">
      <c r="A6" s="37"/>
    </row>
    <row r="7" spans="1:1">
      <c r="A7" s="37" t="s">
        <v>3</v>
      </c>
    </row>
    <row r="8" spans="1:1">
      <c r="A8" s="37" t="s">
        <v>4</v>
      </c>
    </row>
    <row r="9" spans="1:1">
      <c r="A9" s="38" t="s">
        <v>5</v>
      </c>
    </row>
    <row r="10" spans="1:1">
      <c r="A10" s="37"/>
    </row>
    <row r="11" spans="1:1">
      <c r="A11" s="37" t="s">
        <v>6</v>
      </c>
    </row>
    <row r="12" spans="1:1">
      <c r="A12" s="38" t="s">
        <v>7</v>
      </c>
    </row>
    <row r="13" spans="1:1">
      <c r="A13" s="38" t="s">
        <v>8</v>
      </c>
    </row>
    <row r="14" spans="1:1">
      <c r="A14" s="38"/>
    </row>
    <row r="15" spans="1:1">
      <c r="A15" s="38" t="s">
        <v>9</v>
      </c>
    </row>
    <row r="16" spans="1:1">
      <c r="A16" s="39" t="s">
        <v>10</v>
      </c>
    </row>
    <row r="17" spans="1:1">
      <c r="A17" s="39" t="s">
        <v>11</v>
      </c>
    </row>
    <row r="18" spans="1:1">
      <c r="A18" s="39" t="s">
        <v>12</v>
      </c>
    </row>
    <row r="19" spans="1:1">
      <c r="A19" s="39" t="s">
        <v>13</v>
      </c>
    </row>
    <row r="21" spans="1:1" ht="15" customHeight="1">
      <c r="A21" s="40" t="s">
        <v>14</v>
      </c>
    </row>
    <row r="24" spans="1:1" ht="23.5">
      <c r="A24" s="36" t="s">
        <v>15</v>
      </c>
    </row>
    <row r="25" spans="1:1">
      <c r="A25" s="37"/>
    </row>
    <row r="26" spans="1:1">
      <c r="A26" s="37" t="s">
        <v>16</v>
      </c>
    </row>
    <row r="27" spans="1:1">
      <c r="A27" s="37" t="s">
        <v>17</v>
      </c>
    </row>
    <row r="28" spans="1:1">
      <c r="A28" s="37" t="s">
        <v>18</v>
      </c>
    </row>
    <row r="29" spans="1:1">
      <c r="A29" s="37" t="s">
        <v>19</v>
      </c>
    </row>
    <row r="31" spans="1:1">
      <c r="A31" s="40" t="s">
        <v>20</v>
      </c>
    </row>
    <row r="34" spans="1:1" ht="23.5">
      <c r="A34" s="36" t="s">
        <v>21</v>
      </c>
    </row>
    <row r="35" spans="1:1">
      <c r="A35" s="37"/>
    </row>
    <row r="36" spans="1:1">
      <c r="A36" s="37" t="s">
        <v>22</v>
      </c>
    </row>
    <row r="37" spans="1:1" ht="14.15" customHeight="1">
      <c r="A37" s="37" t="s">
        <v>23</v>
      </c>
    </row>
    <row r="38" spans="1:1" hidden="1">
      <c r="A38" s="37"/>
    </row>
    <row r="39" spans="1:1">
      <c r="A39" s="38" t="s">
        <v>24</v>
      </c>
    </row>
    <row r="40" spans="1:1">
      <c r="A40" s="38" t="s">
        <v>25</v>
      </c>
    </row>
    <row r="41" spans="1:1">
      <c r="A41" s="37" t="s">
        <v>26</v>
      </c>
    </row>
    <row r="43" spans="1:1">
      <c r="A43" s="40" t="s">
        <v>27</v>
      </c>
    </row>
    <row r="46" spans="1:1" ht="23.5">
      <c r="A46" s="36" t="s">
        <v>28</v>
      </c>
    </row>
    <row r="48" spans="1:1">
      <c r="A48" s="33" t="s">
        <v>29</v>
      </c>
    </row>
    <row r="49" spans="1:1">
      <c r="A49" s="37"/>
    </row>
    <row r="50" spans="1:1">
      <c r="A50" s="37" t="s">
        <v>30</v>
      </c>
    </row>
    <row r="51" spans="1:1">
      <c r="A51" s="38" t="s">
        <v>31</v>
      </c>
    </row>
    <row r="52" spans="1:1">
      <c r="A52" s="38" t="s">
        <v>32</v>
      </c>
    </row>
    <row r="53" spans="1:1">
      <c r="A53" s="38" t="s">
        <v>33</v>
      </c>
    </row>
    <row r="54" spans="1:1">
      <c r="A54" s="38"/>
    </row>
    <row r="56" spans="1:1" ht="23.5">
      <c r="A56" s="36" t="s">
        <v>34</v>
      </c>
    </row>
    <row r="58" spans="1:1">
      <c r="A58" s="33" t="s">
        <v>35</v>
      </c>
    </row>
    <row r="59" spans="1:1">
      <c r="A59" s="33" t="s">
        <v>36</v>
      </c>
    </row>
    <row r="61" spans="1:1">
      <c r="A61" s="41" t="s">
        <v>37</v>
      </c>
    </row>
    <row r="62" spans="1:1">
      <c r="A62" s="33" t="s">
        <v>38</v>
      </c>
    </row>
    <row r="64" spans="1:1" s="41" customFormat="1">
      <c r="A64" s="41" t="s">
        <v>39</v>
      </c>
    </row>
    <row r="65" spans="1:1">
      <c r="A65" s="33" t="s">
        <v>40</v>
      </c>
    </row>
    <row r="66" spans="1:1">
      <c r="A66" s="37" t="s">
        <v>41</v>
      </c>
    </row>
    <row r="67" spans="1:1">
      <c r="A67" s="37" t="s">
        <v>42</v>
      </c>
    </row>
    <row r="68" spans="1:1">
      <c r="A68" s="42" t="s">
        <v>43</v>
      </c>
    </row>
    <row r="69" spans="1:1">
      <c r="A69" s="38" t="s">
        <v>44</v>
      </c>
    </row>
    <row r="70" spans="1:1">
      <c r="A70" s="42" t="s">
        <v>45</v>
      </c>
    </row>
    <row r="71" spans="1:1">
      <c r="A71" s="38" t="s">
        <v>46</v>
      </c>
    </row>
    <row r="72" spans="1:1">
      <c r="A72" s="42" t="s">
        <v>47</v>
      </c>
    </row>
    <row r="73" spans="1:1">
      <c r="A73" s="38" t="s">
        <v>48</v>
      </c>
    </row>
    <row r="74" spans="1:1">
      <c r="A74" s="42" t="s">
        <v>49</v>
      </c>
    </row>
    <row r="75" spans="1:1">
      <c r="A75" s="38" t="s">
        <v>50</v>
      </c>
    </row>
    <row r="76" spans="1:1">
      <c r="A76" s="42" t="s">
        <v>51</v>
      </c>
    </row>
    <row r="77" spans="1:1">
      <c r="A77" s="38" t="s">
        <v>52</v>
      </c>
    </row>
    <row r="78" spans="1:1">
      <c r="A78" s="38" t="s">
        <v>53</v>
      </c>
    </row>
    <row r="79" spans="1:1">
      <c r="A79" s="42" t="s">
        <v>54</v>
      </c>
    </row>
    <row r="80" spans="1:1">
      <c r="A80" s="38" t="s">
        <v>55</v>
      </c>
    </row>
    <row r="81" spans="1:2">
      <c r="A81" s="42" t="s">
        <v>56</v>
      </c>
    </row>
    <row r="82" spans="1:2">
      <c r="A82" s="38" t="s">
        <v>57</v>
      </c>
    </row>
    <row r="83" spans="1:2">
      <c r="A83" s="38"/>
    </row>
    <row r="84" spans="1:2">
      <c r="A84" s="40" t="s">
        <v>58</v>
      </c>
    </row>
    <row r="87" spans="1:2" ht="23.5">
      <c r="A87" s="36" t="s">
        <v>59</v>
      </c>
    </row>
    <row r="89" spans="1:2">
      <c r="A89" s="33" t="s">
        <v>60</v>
      </c>
    </row>
    <row r="90" spans="1:2">
      <c r="A90" s="33" t="s">
        <v>61</v>
      </c>
    </row>
    <row r="91" spans="1:2">
      <c r="A91" s="33" t="s">
        <v>62</v>
      </c>
    </row>
    <row r="93" spans="1:2">
      <c r="A93" s="42" t="s">
        <v>63</v>
      </c>
    </row>
    <row r="94" spans="1:2">
      <c r="A94" s="38" t="s">
        <v>64</v>
      </c>
      <c r="B94" s="43"/>
    </row>
    <row r="95" spans="1:2">
      <c r="A95" s="42" t="s">
        <v>65</v>
      </c>
      <c r="B95" s="43"/>
    </row>
    <row r="96" spans="1:2">
      <c r="A96" s="38" t="s">
        <v>66</v>
      </c>
      <c r="B96" s="43"/>
    </row>
    <row r="97" spans="1:18">
      <c r="A97" s="42" t="s">
        <v>67</v>
      </c>
    </row>
    <row r="98" spans="1:18">
      <c r="A98" s="38" t="s">
        <v>68</v>
      </c>
    </row>
    <row r="99" spans="1:18">
      <c r="A99" s="42" t="s">
        <v>69</v>
      </c>
    </row>
    <row r="100" spans="1:18">
      <c r="A100" s="38" t="s">
        <v>70</v>
      </c>
    </row>
    <row r="101" spans="1:18">
      <c r="A101" s="42" t="s">
        <v>71</v>
      </c>
    </row>
    <row r="102" spans="1:18">
      <c r="A102" s="38" t="s">
        <v>72</v>
      </c>
    </row>
    <row r="104" spans="1:18">
      <c r="A104" s="40" t="s">
        <v>73</v>
      </c>
    </row>
    <row r="107" spans="1:18" ht="23.5">
      <c r="A107" s="36" t="s">
        <v>74</v>
      </c>
    </row>
    <row r="108" spans="1:18">
      <c r="A108" s="37"/>
    </row>
    <row r="109" spans="1:18">
      <c r="A109" s="44" t="s">
        <v>75</v>
      </c>
      <c r="B109" s="40"/>
      <c r="C109" s="40"/>
      <c r="D109" s="40"/>
      <c r="E109" s="40"/>
      <c r="F109" s="40"/>
      <c r="G109" s="40"/>
      <c r="H109" s="40"/>
      <c r="I109" s="40"/>
      <c r="J109" s="40"/>
      <c r="K109" s="40"/>
      <c r="L109" s="40"/>
      <c r="M109" s="40"/>
      <c r="N109" s="40"/>
      <c r="O109" s="40"/>
      <c r="P109" s="40"/>
      <c r="Q109" s="40"/>
      <c r="R109" s="40"/>
    </row>
    <row r="110" spans="1:18">
      <c r="A110" s="44"/>
      <c r="B110" s="40"/>
      <c r="C110" s="40"/>
      <c r="D110" s="40"/>
      <c r="E110" s="40"/>
      <c r="F110" s="40"/>
      <c r="G110" s="40"/>
      <c r="H110" s="40"/>
      <c r="I110" s="40"/>
      <c r="J110" s="40"/>
      <c r="K110" s="40"/>
      <c r="L110" s="40"/>
      <c r="M110" s="40"/>
      <c r="N110" s="40"/>
      <c r="O110" s="40"/>
      <c r="P110" s="40"/>
      <c r="Q110" s="40"/>
      <c r="R110" s="40"/>
    </row>
    <row r="111" spans="1:18">
      <c r="A111" s="44" t="s">
        <v>76</v>
      </c>
      <c r="B111" s="40"/>
      <c r="C111" s="40"/>
      <c r="D111" s="40"/>
      <c r="E111" s="40"/>
      <c r="F111" s="40"/>
      <c r="G111" s="40"/>
      <c r="H111" s="40"/>
      <c r="I111" s="40"/>
      <c r="J111" s="40"/>
      <c r="K111" s="40"/>
      <c r="L111" s="40"/>
      <c r="M111" s="40"/>
      <c r="N111" s="40"/>
      <c r="O111" s="40"/>
      <c r="P111" s="40"/>
      <c r="Q111" s="40"/>
      <c r="R111" s="40"/>
    </row>
    <row r="112" spans="1:18">
      <c r="A112" s="44"/>
      <c r="B112" s="40"/>
      <c r="C112" s="40"/>
      <c r="D112" s="40"/>
      <c r="E112" s="40"/>
      <c r="F112" s="40"/>
      <c r="G112" s="40"/>
      <c r="H112" s="40"/>
      <c r="I112" s="40"/>
      <c r="J112" s="40"/>
      <c r="K112" s="40"/>
      <c r="L112" s="40"/>
      <c r="M112" s="40"/>
      <c r="N112" s="40"/>
      <c r="O112" s="40"/>
      <c r="P112" s="40"/>
      <c r="Q112" s="40"/>
      <c r="R112" s="40"/>
    </row>
    <row r="113" spans="1:18">
      <c r="A113" s="44" t="s">
        <v>77</v>
      </c>
      <c r="B113" s="40"/>
      <c r="C113" s="40"/>
      <c r="D113" s="40"/>
      <c r="E113" s="40"/>
      <c r="F113" s="40"/>
      <c r="G113" s="40"/>
      <c r="H113" s="40"/>
      <c r="I113" s="40"/>
      <c r="J113" s="40"/>
      <c r="K113" s="40"/>
      <c r="L113" s="40"/>
      <c r="M113" s="40"/>
      <c r="N113" s="40"/>
      <c r="O113" s="40"/>
      <c r="P113" s="40"/>
      <c r="Q113" s="40"/>
      <c r="R113" s="40"/>
    </row>
    <row r="114" spans="1:18">
      <c r="A114" s="44"/>
      <c r="B114" s="40"/>
      <c r="C114" s="40"/>
      <c r="D114" s="40"/>
      <c r="E114" s="40"/>
      <c r="F114" s="40"/>
      <c r="G114" s="40"/>
      <c r="H114" s="40"/>
      <c r="I114" s="40"/>
      <c r="J114" s="40"/>
      <c r="K114" s="40"/>
      <c r="L114" s="40"/>
      <c r="M114" s="40"/>
      <c r="N114" s="40"/>
      <c r="O114" s="40"/>
      <c r="P114" s="40"/>
      <c r="Q114" s="40"/>
      <c r="R114" s="40"/>
    </row>
    <row r="115" spans="1:18">
      <c r="A115" s="44" t="s">
        <v>78</v>
      </c>
      <c r="B115" s="40"/>
      <c r="C115" s="40"/>
      <c r="D115" s="40"/>
      <c r="E115" s="40"/>
      <c r="F115" s="40"/>
      <c r="G115" s="40"/>
      <c r="H115" s="40"/>
      <c r="I115" s="40"/>
      <c r="J115" s="40"/>
      <c r="K115" s="40"/>
      <c r="L115" s="40"/>
      <c r="M115" s="40"/>
      <c r="N115" s="40"/>
      <c r="O115" s="40"/>
      <c r="P115" s="40"/>
      <c r="Q115" s="40"/>
      <c r="R11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J1007"/>
  <sheetViews>
    <sheetView zoomScale="80" zoomScaleNormal="80" workbookViewId="0">
      <pane xSplit="2" ySplit="5" topLeftCell="H33" activePane="bottomRight" state="frozen"/>
      <selection pane="topRight" activeCell="C1" sqref="C1"/>
      <selection pane="bottomLeft" activeCell="A6" sqref="A6"/>
      <selection pane="bottomRight" activeCell="I34" sqref="I34:I36"/>
    </sheetView>
  </sheetViews>
  <sheetFormatPr defaultColWidth="14.453125" defaultRowHeight="15" customHeight="1"/>
  <cols>
    <col min="1" max="1" width="8.7265625" customWidth="1"/>
    <col min="2" max="2" width="42.1796875" customWidth="1"/>
    <col min="3" max="3" width="7.26953125" customWidth="1"/>
    <col min="4" max="4" width="9.1796875" customWidth="1"/>
    <col min="5" max="5" width="80.7265625" customWidth="1"/>
    <col min="6" max="6" width="70.7265625" customWidth="1"/>
    <col min="7" max="7" width="48.453125" customWidth="1"/>
    <col min="8" max="8" width="70.81640625" customWidth="1"/>
    <col min="9" max="9" width="22.1796875" customWidth="1"/>
    <col min="10" max="26" width="8.7265625" customWidth="1"/>
  </cols>
  <sheetData>
    <row r="1" spans="1:9" ht="18.649999999999999" customHeight="1">
      <c r="F1" s="2" t="s">
        <v>79</v>
      </c>
    </row>
    <row r="2" spans="1:9" ht="18.649999999999999" customHeight="1">
      <c r="E2" s="12" t="s">
        <v>80</v>
      </c>
      <c r="F2" s="49" t="s">
        <v>81</v>
      </c>
    </row>
    <row r="3" spans="1:9" ht="23.5">
      <c r="B3" s="12" t="s">
        <v>82</v>
      </c>
      <c r="E3" s="19" t="s">
        <v>83</v>
      </c>
      <c r="F3" s="3" t="s">
        <v>84</v>
      </c>
    </row>
    <row r="4" spans="1:9" ht="14.25" customHeight="1">
      <c r="B4" s="13"/>
      <c r="C4" s="13"/>
      <c r="D4" s="13"/>
      <c r="E4" s="13"/>
      <c r="F4" s="1"/>
      <c r="G4" s="1"/>
      <c r="H4" s="1"/>
      <c r="I4" s="7" t="s">
        <v>85</v>
      </c>
    </row>
    <row r="5" spans="1:9" ht="49.5" customHeight="1" thickBot="1">
      <c r="B5" s="7" t="s">
        <v>86</v>
      </c>
      <c r="C5" s="7" t="s">
        <v>87</v>
      </c>
      <c r="D5" s="7" t="s">
        <v>88</v>
      </c>
      <c r="E5" s="7" t="s">
        <v>89</v>
      </c>
      <c r="F5" s="7" t="s">
        <v>11</v>
      </c>
      <c r="G5" s="7" t="s">
        <v>12</v>
      </c>
      <c r="H5" s="7" t="s">
        <v>90</v>
      </c>
      <c r="I5" s="50" t="s">
        <v>91</v>
      </c>
    </row>
    <row r="6" spans="1:9" ht="51.65" customHeight="1" thickBot="1">
      <c r="A6" s="63" t="s">
        <v>92</v>
      </c>
      <c r="B6" s="60" t="s">
        <v>93</v>
      </c>
      <c r="C6" s="4" t="s">
        <v>94</v>
      </c>
      <c r="D6" s="5">
        <v>1</v>
      </c>
      <c r="E6" s="27" t="s">
        <v>95</v>
      </c>
      <c r="F6" s="24" t="s">
        <v>96</v>
      </c>
      <c r="G6" s="24" t="s">
        <v>97</v>
      </c>
      <c r="H6" s="24" t="s">
        <v>98</v>
      </c>
      <c r="I6" s="59"/>
    </row>
    <row r="7" spans="1:9" ht="49.5" customHeight="1" thickBot="1">
      <c r="A7" s="64"/>
      <c r="B7" s="61"/>
      <c r="C7" s="4" t="s">
        <v>99</v>
      </c>
      <c r="D7" s="51">
        <v>2</v>
      </c>
      <c r="E7" s="28" t="s">
        <v>100</v>
      </c>
      <c r="F7" s="25" t="s">
        <v>101</v>
      </c>
      <c r="G7" s="25" t="s">
        <v>102</v>
      </c>
      <c r="H7" s="25" t="s">
        <v>103</v>
      </c>
      <c r="I7" s="59"/>
    </row>
    <row r="8" spans="1:9" ht="49.5" customHeight="1" thickBot="1">
      <c r="A8" s="64"/>
      <c r="B8" s="62"/>
      <c r="C8" s="4" t="s">
        <v>104</v>
      </c>
      <c r="D8" s="6">
        <v>3</v>
      </c>
      <c r="E8" s="29" t="s">
        <v>105</v>
      </c>
      <c r="F8" s="26" t="s">
        <v>106</v>
      </c>
      <c r="G8" s="26" t="s">
        <v>107</v>
      </c>
      <c r="H8" s="26" t="s">
        <v>108</v>
      </c>
      <c r="I8" s="59"/>
    </row>
    <row r="9" spans="1:9" ht="15.65" customHeight="1" thickBot="1">
      <c r="A9" s="64"/>
      <c r="B9" s="11"/>
      <c r="C9" s="14"/>
      <c r="D9" s="15"/>
      <c r="E9" s="16"/>
      <c r="F9" s="16"/>
      <c r="G9" s="16"/>
      <c r="H9" s="16"/>
      <c r="I9" s="52"/>
    </row>
    <row r="10" spans="1:9" ht="49.5" customHeight="1" thickBot="1">
      <c r="A10" s="64"/>
      <c r="B10" s="60" t="s">
        <v>109</v>
      </c>
      <c r="C10" s="4" t="s">
        <v>94</v>
      </c>
      <c r="D10" s="5">
        <v>4</v>
      </c>
      <c r="E10" s="27" t="s">
        <v>110</v>
      </c>
      <c r="F10" s="24" t="s">
        <v>111</v>
      </c>
      <c r="G10" s="24" t="s">
        <v>112</v>
      </c>
      <c r="H10" s="24" t="s">
        <v>113</v>
      </c>
      <c r="I10" s="59"/>
    </row>
    <row r="11" spans="1:9" ht="49.5" customHeight="1" thickBot="1">
      <c r="A11" s="64"/>
      <c r="B11" s="61"/>
      <c r="C11" s="4" t="s">
        <v>99</v>
      </c>
      <c r="D11" s="51">
        <v>5</v>
      </c>
      <c r="E11" s="28" t="s">
        <v>114</v>
      </c>
      <c r="F11" s="25" t="s">
        <v>115</v>
      </c>
      <c r="G11" s="25" t="s">
        <v>116</v>
      </c>
      <c r="H11" s="25" t="s">
        <v>117</v>
      </c>
      <c r="I11" s="59"/>
    </row>
    <row r="12" spans="1:9" ht="49.5" customHeight="1" thickBot="1">
      <c r="A12" s="64"/>
      <c r="B12" s="62"/>
      <c r="C12" s="4" t="s">
        <v>104</v>
      </c>
      <c r="D12" s="6">
        <v>6</v>
      </c>
      <c r="E12" s="29" t="s">
        <v>118</v>
      </c>
      <c r="F12" s="26" t="s">
        <v>119</v>
      </c>
      <c r="G12" s="26" t="s">
        <v>120</v>
      </c>
      <c r="H12" s="26" t="s">
        <v>121</v>
      </c>
      <c r="I12" s="59"/>
    </row>
    <row r="13" spans="1:9" ht="14.15" customHeight="1" thickBot="1">
      <c r="A13" s="64"/>
      <c r="B13" s="11"/>
      <c r="C13" s="14"/>
      <c r="D13" s="15"/>
      <c r="E13" s="16"/>
      <c r="F13" s="16"/>
      <c r="G13" s="16"/>
      <c r="H13" s="16"/>
      <c r="I13" s="52"/>
    </row>
    <row r="14" spans="1:9" ht="49.5" customHeight="1" thickBot="1">
      <c r="A14" s="64"/>
      <c r="B14" s="60" t="s">
        <v>122</v>
      </c>
      <c r="C14" s="4" t="s">
        <v>94</v>
      </c>
      <c r="D14" s="5">
        <v>7</v>
      </c>
      <c r="E14" s="27" t="s">
        <v>123</v>
      </c>
      <c r="F14" s="24" t="s">
        <v>124</v>
      </c>
      <c r="G14" s="24" t="s">
        <v>125</v>
      </c>
      <c r="H14" s="24" t="s">
        <v>126</v>
      </c>
      <c r="I14" s="59"/>
    </row>
    <row r="15" spans="1:9" ht="49.5" customHeight="1" thickBot="1">
      <c r="A15" s="64"/>
      <c r="B15" s="61"/>
      <c r="C15" s="4" t="s">
        <v>99</v>
      </c>
      <c r="D15" s="51">
        <v>8</v>
      </c>
      <c r="E15" s="28" t="s">
        <v>127</v>
      </c>
      <c r="F15" s="25" t="s">
        <v>128</v>
      </c>
      <c r="G15" s="25" t="s">
        <v>129</v>
      </c>
      <c r="H15" s="25" t="s">
        <v>130</v>
      </c>
      <c r="I15" s="59"/>
    </row>
    <row r="16" spans="1:9" ht="49.5" customHeight="1" thickBot="1">
      <c r="A16" s="64"/>
      <c r="B16" s="62"/>
      <c r="C16" s="4" t="s">
        <v>104</v>
      </c>
      <c r="D16" s="6">
        <v>9</v>
      </c>
      <c r="E16" s="29" t="s">
        <v>131</v>
      </c>
      <c r="F16" s="26" t="s">
        <v>132</v>
      </c>
      <c r="G16" s="26" t="s">
        <v>133</v>
      </c>
      <c r="H16" s="26" t="s">
        <v>108</v>
      </c>
      <c r="I16" s="59"/>
    </row>
    <row r="17" spans="1:9" ht="13" customHeight="1" thickBot="1">
      <c r="A17" s="64"/>
      <c r="B17" s="11"/>
      <c r="C17" s="14"/>
      <c r="D17" s="15"/>
      <c r="E17" s="16"/>
      <c r="F17" s="16"/>
      <c r="G17" s="16"/>
      <c r="H17" s="16"/>
      <c r="I17" s="20"/>
    </row>
    <row r="18" spans="1:9" ht="49.5" customHeight="1" thickBot="1">
      <c r="A18" s="64"/>
      <c r="B18" s="60" t="s">
        <v>134</v>
      </c>
      <c r="C18" s="4" t="s">
        <v>94</v>
      </c>
      <c r="D18" s="5">
        <v>10</v>
      </c>
      <c r="E18" s="27" t="s">
        <v>135</v>
      </c>
      <c r="F18" s="24" t="s">
        <v>136</v>
      </c>
      <c r="G18" s="24" t="s">
        <v>137</v>
      </c>
      <c r="H18" s="24" t="s">
        <v>138</v>
      </c>
      <c r="I18" s="59"/>
    </row>
    <row r="19" spans="1:9" ht="49.5" customHeight="1" thickBot="1">
      <c r="A19" s="64"/>
      <c r="B19" s="61"/>
      <c r="C19" s="4" t="s">
        <v>99</v>
      </c>
      <c r="D19" s="51">
        <v>11</v>
      </c>
      <c r="E19" s="28" t="s">
        <v>139</v>
      </c>
      <c r="F19" s="25" t="s">
        <v>140</v>
      </c>
      <c r="G19" s="25" t="s">
        <v>141</v>
      </c>
      <c r="H19" s="25" t="s">
        <v>142</v>
      </c>
      <c r="I19" s="59"/>
    </row>
    <row r="20" spans="1:9" ht="49.5" customHeight="1" thickBot="1">
      <c r="A20" s="64"/>
      <c r="B20" s="62"/>
      <c r="C20" s="4" t="s">
        <v>104</v>
      </c>
      <c r="D20" s="6">
        <v>12</v>
      </c>
      <c r="E20" s="29" t="s">
        <v>143</v>
      </c>
      <c r="F20" s="26" t="s">
        <v>144</v>
      </c>
      <c r="G20" s="26" t="s">
        <v>145</v>
      </c>
      <c r="H20" s="26" t="s">
        <v>146</v>
      </c>
      <c r="I20" s="59"/>
    </row>
    <row r="21" spans="1:9" ht="12" customHeight="1" thickBot="1">
      <c r="A21" s="64"/>
      <c r="B21" s="11"/>
      <c r="C21" s="14"/>
      <c r="D21" s="15"/>
      <c r="E21" s="16"/>
      <c r="F21" s="16"/>
      <c r="G21" s="16"/>
      <c r="H21" s="16"/>
      <c r="I21" s="20"/>
    </row>
    <row r="22" spans="1:9" ht="49.5" customHeight="1" thickBot="1">
      <c r="A22" s="64"/>
      <c r="B22" s="60" t="s">
        <v>147</v>
      </c>
      <c r="C22" s="4" t="s">
        <v>94</v>
      </c>
      <c r="D22" s="5">
        <v>13</v>
      </c>
      <c r="E22" s="27" t="s">
        <v>148</v>
      </c>
      <c r="F22" s="24" t="s">
        <v>149</v>
      </c>
      <c r="G22" s="24" t="s">
        <v>150</v>
      </c>
      <c r="H22" s="24" t="s">
        <v>151</v>
      </c>
      <c r="I22" s="59"/>
    </row>
    <row r="23" spans="1:9" ht="49.5" customHeight="1" thickBot="1">
      <c r="A23" s="64"/>
      <c r="B23" s="61"/>
      <c r="C23" s="4" t="s">
        <v>99</v>
      </c>
      <c r="D23" s="51">
        <v>14</v>
      </c>
      <c r="E23" s="28" t="s">
        <v>152</v>
      </c>
      <c r="F23" s="25" t="s">
        <v>153</v>
      </c>
      <c r="G23" s="25" t="s">
        <v>154</v>
      </c>
      <c r="H23" s="25" t="s">
        <v>155</v>
      </c>
      <c r="I23" s="59"/>
    </row>
    <row r="24" spans="1:9" ht="49.5" customHeight="1" thickBot="1">
      <c r="A24" s="64"/>
      <c r="B24" s="62"/>
      <c r="C24" s="4" t="s">
        <v>104</v>
      </c>
      <c r="D24" s="6">
        <v>15</v>
      </c>
      <c r="E24" s="29" t="s">
        <v>156</v>
      </c>
      <c r="F24" s="26" t="s">
        <v>157</v>
      </c>
      <c r="G24" s="26" t="s">
        <v>158</v>
      </c>
      <c r="H24" s="26" t="s">
        <v>146</v>
      </c>
      <c r="I24" s="59"/>
    </row>
    <row r="25" spans="1:9" ht="13.5" customHeight="1" thickBot="1">
      <c r="A25" s="64"/>
      <c r="B25" s="11"/>
      <c r="C25" s="14"/>
      <c r="D25" s="15"/>
      <c r="E25" s="16"/>
      <c r="F25" s="16"/>
      <c r="G25" s="16"/>
      <c r="H25" s="16"/>
      <c r="I25" s="20"/>
    </row>
    <row r="26" spans="1:9" ht="49.5" customHeight="1" thickBot="1">
      <c r="A26" s="64"/>
      <c r="B26" s="60" t="s">
        <v>159</v>
      </c>
      <c r="C26" s="4" t="s">
        <v>94</v>
      </c>
      <c r="D26" s="5">
        <v>16</v>
      </c>
      <c r="E26" s="27" t="s">
        <v>160</v>
      </c>
      <c r="F26" s="24" t="s">
        <v>161</v>
      </c>
      <c r="G26" s="24" t="s">
        <v>162</v>
      </c>
      <c r="H26" s="24" t="s">
        <v>163</v>
      </c>
      <c r="I26" s="59"/>
    </row>
    <row r="27" spans="1:9" ht="49.5" customHeight="1" thickBot="1">
      <c r="A27" s="64"/>
      <c r="B27" s="61"/>
      <c r="C27" s="4" t="s">
        <v>99</v>
      </c>
      <c r="D27" s="51">
        <v>17</v>
      </c>
      <c r="E27" s="28" t="s">
        <v>164</v>
      </c>
      <c r="F27" s="25" t="s">
        <v>165</v>
      </c>
      <c r="G27" s="25" t="s">
        <v>166</v>
      </c>
      <c r="H27" s="25" t="s">
        <v>167</v>
      </c>
      <c r="I27" s="59"/>
    </row>
    <row r="28" spans="1:9" ht="49.5" customHeight="1" thickBot="1">
      <c r="A28" s="64"/>
      <c r="B28" s="62"/>
      <c r="C28" s="4" t="s">
        <v>104</v>
      </c>
      <c r="D28" s="6">
        <v>18</v>
      </c>
      <c r="E28" s="29" t="s">
        <v>168</v>
      </c>
      <c r="F28" s="26" t="s">
        <v>169</v>
      </c>
      <c r="G28" s="26" t="s">
        <v>170</v>
      </c>
      <c r="H28" s="26" t="s">
        <v>108</v>
      </c>
      <c r="I28" s="59"/>
    </row>
    <row r="29" spans="1:9" ht="12" customHeight="1" thickBot="1">
      <c r="A29" s="64"/>
      <c r="B29" s="11"/>
      <c r="C29" s="14"/>
      <c r="D29" s="15"/>
      <c r="E29" s="16"/>
      <c r="F29" s="16"/>
      <c r="G29" s="16"/>
      <c r="H29" s="16"/>
      <c r="I29" s="20"/>
    </row>
    <row r="30" spans="1:9" ht="49.5" customHeight="1" thickBot="1">
      <c r="A30" s="64"/>
      <c r="B30" s="60" t="s">
        <v>171</v>
      </c>
      <c r="C30" s="4" t="s">
        <v>94</v>
      </c>
      <c r="D30" s="5">
        <v>19</v>
      </c>
      <c r="E30" s="27" t="s">
        <v>172</v>
      </c>
      <c r="F30" s="24" t="s">
        <v>173</v>
      </c>
      <c r="G30" s="24" t="s">
        <v>174</v>
      </c>
      <c r="H30" s="24" t="s">
        <v>175</v>
      </c>
      <c r="I30" s="59"/>
    </row>
    <row r="31" spans="1:9" ht="49.5" customHeight="1" thickBot="1">
      <c r="A31" s="64"/>
      <c r="B31" s="61"/>
      <c r="C31" s="4" t="s">
        <v>99</v>
      </c>
      <c r="D31" s="51">
        <v>20</v>
      </c>
      <c r="E31" s="28" t="s">
        <v>176</v>
      </c>
      <c r="F31" s="25" t="s">
        <v>177</v>
      </c>
      <c r="G31" s="25" t="s">
        <v>178</v>
      </c>
      <c r="H31" s="25" t="s">
        <v>179</v>
      </c>
      <c r="I31" s="59"/>
    </row>
    <row r="32" spans="1:9" ht="49.5" customHeight="1" thickBot="1">
      <c r="A32" s="64"/>
      <c r="B32" s="62"/>
      <c r="C32" s="4" t="s">
        <v>104</v>
      </c>
      <c r="D32" s="6">
        <v>21</v>
      </c>
      <c r="E32" s="29" t="s">
        <v>180</v>
      </c>
      <c r="F32" s="26" t="s">
        <v>181</v>
      </c>
      <c r="G32" s="26" t="s">
        <v>182</v>
      </c>
      <c r="H32" s="26" t="s">
        <v>146</v>
      </c>
      <c r="I32" s="59"/>
    </row>
    <row r="33" spans="1:10" ht="13.5" customHeight="1" thickBot="1">
      <c r="A33" s="64"/>
      <c r="B33" s="11"/>
      <c r="C33" s="14"/>
      <c r="D33" s="15"/>
      <c r="E33" s="16"/>
      <c r="F33" s="16"/>
      <c r="G33" s="16"/>
      <c r="H33" s="16"/>
      <c r="I33" s="20"/>
    </row>
    <row r="34" spans="1:10" ht="49.5" customHeight="1" thickBot="1">
      <c r="A34" s="64"/>
      <c r="B34" s="60" t="s">
        <v>183</v>
      </c>
      <c r="C34" s="4" t="s">
        <v>94</v>
      </c>
      <c r="D34" s="5">
        <v>22</v>
      </c>
      <c r="E34" s="27" t="s">
        <v>184</v>
      </c>
      <c r="F34" s="24" t="s">
        <v>185</v>
      </c>
      <c r="G34" s="24" t="s">
        <v>186</v>
      </c>
      <c r="H34" s="24" t="s">
        <v>187</v>
      </c>
      <c r="I34" s="59"/>
    </row>
    <row r="35" spans="1:10" ht="49.5" customHeight="1" thickBot="1">
      <c r="A35" s="64"/>
      <c r="B35" s="61"/>
      <c r="C35" s="4" t="s">
        <v>99</v>
      </c>
      <c r="D35" s="51">
        <v>23</v>
      </c>
      <c r="E35" s="28" t="s">
        <v>188</v>
      </c>
      <c r="F35" s="25" t="s">
        <v>189</v>
      </c>
      <c r="G35" s="25" t="s">
        <v>190</v>
      </c>
      <c r="H35" s="25" t="s">
        <v>191</v>
      </c>
      <c r="I35" s="59"/>
    </row>
    <row r="36" spans="1:10" ht="49.5" customHeight="1" thickBot="1">
      <c r="A36" s="64"/>
      <c r="B36" s="62"/>
      <c r="C36" s="4" t="s">
        <v>104</v>
      </c>
      <c r="D36" s="6">
        <v>24</v>
      </c>
      <c r="E36" s="29" t="s">
        <v>192</v>
      </c>
      <c r="F36" s="26" t="s">
        <v>193</v>
      </c>
      <c r="G36" s="26" t="s">
        <v>194</v>
      </c>
      <c r="H36" s="26" t="s">
        <v>146</v>
      </c>
      <c r="I36" s="59"/>
    </row>
    <row r="37" spans="1:10" ht="14.25" customHeight="1">
      <c r="H37" s="20"/>
      <c r="I37" s="20"/>
      <c r="J37" s="20"/>
    </row>
    <row r="38" spans="1:10" ht="14.25" customHeight="1">
      <c r="H38" s="20"/>
      <c r="I38" s="20"/>
      <c r="J38" s="20"/>
    </row>
    <row r="39" spans="1:10" ht="14.25" customHeight="1">
      <c r="H39" s="20"/>
      <c r="I39" s="20"/>
      <c r="J39" s="20"/>
    </row>
    <row r="40" spans="1:10" ht="14.25" customHeight="1">
      <c r="H40" s="20"/>
      <c r="I40" s="20"/>
      <c r="J40" s="20"/>
    </row>
    <row r="41" spans="1:10" ht="14.25" customHeight="1">
      <c r="H41" s="20"/>
      <c r="I41" s="20"/>
      <c r="J41" s="20"/>
    </row>
    <row r="42" spans="1:10" ht="14.25" customHeight="1">
      <c r="H42" s="20"/>
      <c r="I42" s="20"/>
      <c r="J42" s="20"/>
    </row>
    <row r="43" spans="1:10" ht="14.25" customHeight="1">
      <c r="H43" s="20"/>
      <c r="I43" s="20"/>
      <c r="J43" s="20"/>
    </row>
    <row r="44" spans="1:10" ht="14.25" customHeight="1"/>
    <row r="45" spans="1:10" ht="14.25" customHeight="1"/>
    <row r="46" spans="1:10" ht="14.25" customHeight="1"/>
    <row r="47" spans="1:10" ht="14.25" customHeight="1"/>
    <row r="48" spans="1:10"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ht="14.25" customHeight="1"/>
    <row r="546" ht="14.25" customHeight="1"/>
    <row r="547" ht="14.25" customHeight="1"/>
    <row r="548" ht="14.25" customHeight="1"/>
    <row r="549" ht="14.25" customHeight="1"/>
    <row r="550" ht="14.25" customHeight="1"/>
    <row r="551" ht="14.25" customHeight="1"/>
    <row r="552" ht="14.25" customHeight="1"/>
    <row r="553" ht="14.25" customHeight="1"/>
    <row r="554" ht="14.25" customHeight="1"/>
    <row r="555" ht="14.25" customHeight="1"/>
    <row r="556" ht="14.25" customHeight="1"/>
    <row r="557" ht="14.25" customHeight="1"/>
    <row r="558" ht="14.25" customHeight="1"/>
    <row r="559" ht="14.25" customHeight="1"/>
    <row r="560" ht="14.25" customHeight="1"/>
    <row r="561" ht="14.25" customHeight="1"/>
    <row r="562" ht="14.25" customHeight="1"/>
    <row r="563" ht="14.25" customHeight="1"/>
    <row r="564" ht="14.25" customHeight="1"/>
    <row r="565" ht="14.25" customHeight="1"/>
    <row r="566" ht="14.25" customHeight="1"/>
    <row r="567" ht="14.25" customHeight="1"/>
    <row r="568" ht="14.25" customHeight="1"/>
    <row r="569" ht="14.25" customHeight="1"/>
    <row r="570" ht="14.25" customHeight="1"/>
    <row r="571" ht="14.25" customHeight="1"/>
    <row r="572" ht="14.25" customHeight="1"/>
    <row r="573" ht="14.25" customHeight="1"/>
    <row r="574" ht="14.25" customHeight="1"/>
    <row r="575" ht="14.25" customHeight="1"/>
    <row r="576" ht="14.25" customHeight="1"/>
    <row r="577" ht="14.25" customHeight="1"/>
    <row r="578" ht="14.25" customHeight="1"/>
    <row r="579" ht="14.25" customHeight="1"/>
    <row r="580" ht="14.25" customHeight="1"/>
    <row r="581" ht="14.25" customHeight="1"/>
    <row r="582" ht="14.25" customHeight="1"/>
    <row r="583" ht="14.25" customHeight="1"/>
    <row r="584" ht="14.25" customHeight="1"/>
    <row r="585" ht="14.25" customHeight="1"/>
    <row r="586" ht="14.25" customHeight="1"/>
    <row r="587" ht="14.25" customHeight="1"/>
    <row r="588" ht="14.25" customHeight="1"/>
    <row r="589" ht="14.25" customHeight="1"/>
    <row r="590" ht="14.25" customHeight="1"/>
    <row r="591" ht="14.25" customHeight="1"/>
    <row r="592" ht="14.25" customHeight="1"/>
    <row r="593" ht="14.25" customHeight="1"/>
    <row r="594" ht="14.25" customHeight="1"/>
    <row r="595" ht="14.25" customHeight="1"/>
    <row r="596" ht="14.25" customHeight="1"/>
    <row r="597" ht="14.25" customHeight="1"/>
    <row r="598" ht="14.25" customHeight="1"/>
    <row r="599" ht="14.25" customHeight="1"/>
    <row r="600" ht="14.25" customHeight="1"/>
    <row r="601" ht="14.25" customHeight="1"/>
    <row r="602" ht="14.25" customHeight="1"/>
    <row r="603" ht="14.25" customHeight="1"/>
    <row r="604" ht="14.25" customHeight="1"/>
    <row r="605" ht="14.25" customHeight="1"/>
    <row r="606" ht="14.25" customHeight="1"/>
    <row r="607" ht="14.25" customHeight="1"/>
    <row r="608" ht="14.25" customHeight="1"/>
    <row r="609" ht="14.25" customHeight="1"/>
    <row r="610" ht="14.25" customHeight="1"/>
    <row r="611" ht="14.25" customHeight="1"/>
    <row r="612" ht="14.25" customHeight="1"/>
    <row r="613" ht="14.25" customHeight="1"/>
    <row r="614" ht="14.25" customHeight="1"/>
    <row r="615" ht="14.25" customHeight="1"/>
    <row r="616" ht="14.25" customHeight="1"/>
    <row r="617" ht="14.25" customHeight="1"/>
    <row r="618" ht="14.25" customHeight="1"/>
    <row r="619" ht="14.25" customHeight="1"/>
    <row r="620" ht="14.25" customHeight="1"/>
    <row r="621" ht="14.25" customHeight="1"/>
    <row r="622" ht="14.25" customHeight="1"/>
    <row r="623" ht="14.25" customHeight="1"/>
    <row r="624" ht="14.25" customHeight="1"/>
    <row r="625" ht="14.25" customHeight="1"/>
    <row r="626" ht="14.25" customHeight="1"/>
    <row r="627" ht="14.25" customHeight="1"/>
    <row r="628" ht="14.25" customHeight="1"/>
    <row r="629" ht="14.25" customHeight="1"/>
    <row r="630" ht="14.25" customHeight="1"/>
    <row r="631" ht="14.25" customHeight="1"/>
    <row r="632" ht="14.25" customHeight="1"/>
    <row r="633" ht="14.25" customHeight="1"/>
    <row r="634" ht="14.25" customHeight="1"/>
    <row r="635" ht="14.25" customHeight="1"/>
    <row r="636" ht="14.25" customHeight="1"/>
    <row r="637" ht="14.25" customHeight="1"/>
    <row r="638" ht="14.25" customHeight="1"/>
    <row r="639" ht="14.25" customHeight="1"/>
    <row r="640" ht="14.25" customHeight="1"/>
    <row r="641" ht="14.25" customHeight="1"/>
    <row r="642" ht="14.25" customHeight="1"/>
    <row r="643" ht="14.25" customHeight="1"/>
    <row r="644" ht="14.25" customHeight="1"/>
    <row r="645" ht="14.25" customHeight="1"/>
    <row r="646" ht="14.25" customHeight="1"/>
    <row r="647" ht="14.25" customHeight="1"/>
    <row r="648" ht="14.25" customHeight="1"/>
    <row r="649" ht="14.25" customHeight="1"/>
    <row r="650" ht="14.25" customHeight="1"/>
    <row r="651" ht="14.25" customHeight="1"/>
    <row r="652" ht="14.25" customHeight="1"/>
    <row r="653" ht="14.25" customHeight="1"/>
    <row r="654" ht="14.25" customHeight="1"/>
    <row r="655" ht="14.25" customHeight="1"/>
    <row r="656" ht="14.25" customHeight="1"/>
    <row r="657" ht="14.25" customHeight="1"/>
    <row r="658" ht="14.25" customHeight="1"/>
    <row r="659" ht="14.25" customHeight="1"/>
    <row r="660" ht="14.25" customHeight="1"/>
    <row r="661" ht="14.25" customHeight="1"/>
    <row r="662" ht="14.25" customHeight="1"/>
    <row r="663" ht="14.25" customHeight="1"/>
    <row r="664" ht="14.25" customHeight="1"/>
    <row r="665" ht="14.25" customHeight="1"/>
    <row r="666" ht="14.25" customHeight="1"/>
    <row r="667" ht="14.25" customHeight="1"/>
    <row r="668" ht="14.25" customHeight="1"/>
    <row r="669" ht="14.25" customHeight="1"/>
    <row r="670" ht="14.25" customHeight="1"/>
    <row r="671" ht="14.25" customHeight="1"/>
    <row r="672" ht="14.25" customHeight="1"/>
    <row r="673" ht="14.25" customHeight="1"/>
    <row r="674" ht="14.25" customHeight="1"/>
    <row r="675" ht="14.25" customHeight="1"/>
    <row r="676" ht="14.25" customHeight="1"/>
    <row r="677" ht="14.25" customHeight="1"/>
    <row r="678" ht="14.25" customHeight="1"/>
    <row r="679" ht="14.25" customHeight="1"/>
    <row r="680" ht="14.25" customHeight="1"/>
    <row r="681" ht="14.25" customHeight="1"/>
    <row r="682" ht="14.25" customHeight="1"/>
    <row r="683" ht="14.25" customHeight="1"/>
    <row r="684" ht="14.25" customHeight="1"/>
    <row r="685" ht="14.25" customHeight="1"/>
    <row r="686" ht="14.25" customHeight="1"/>
    <row r="687" ht="14.25" customHeight="1"/>
    <row r="688" ht="14.25" customHeight="1"/>
    <row r="689" ht="14.25" customHeight="1"/>
    <row r="690" ht="14.25" customHeight="1"/>
    <row r="691" ht="14.25" customHeight="1"/>
    <row r="692" ht="14.25" customHeight="1"/>
    <row r="693" ht="14.25" customHeight="1"/>
    <row r="694" ht="14.25" customHeight="1"/>
    <row r="695" ht="14.25" customHeight="1"/>
    <row r="696" ht="14.25" customHeight="1"/>
    <row r="697" ht="14.25" customHeight="1"/>
    <row r="698" ht="14.25" customHeight="1"/>
    <row r="699" ht="14.25" customHeight="1"/>
    <row r="700" ht="14.25" customHeight="1"/>
    <row r="701" ht="14.25" customHeight="1"/>
    <row r="702" ht="14.25" customHeight="1"/>
    <row r="703" ht="14.25" customHeight="1"/>
    <row r="704" ht="14.25" customHeight="1"/>
    <row r="705" ht="14.25" customHeight="1"/>
    <row r="706" ht="14.25" customHeight="1"/>
    <row r="707" ht="14.25" customHeight="1"/>
    <row r="708" ht="14.25" customHeight="1"/>
    <row r="709" ht="14.25" customHeight="1"/>
    <row r="710" ht="14.25" customHeight="1"/>
    <row r="711" ht="14.25" customHeight="1"/>
    <row r="712" ht="14.25" customHeight="1"/>
    <row r="713" ht="14.25" customHeight="1"/>
    <row r="714" ht="14.25" customHeight="1"/>
    <row r="715" ht="14.25" customHeight="1"/>
    <row r="716" ht="14.25" customHeight="1"/>
    <row r="717" ht="14.25" customHeight="1"/>
    <row r="718" ht="14.25" customHeight="1"/>
    <row r="719" ht="14.25" customHeight="1"/>
    <row r="720" ht="14.25" customHeight="1"/>
    <row r="721" ht="14.25" customHeight="1"/>
    <row r="722" ht="14.25" customHeight="1"/>
    <row r="723" ht="14.25" customHeight="1"/>
    <row r="724" ht="14.25" customHeight="1"/>
    <row r="725" ht="14.25" customHeight="1"/>
    <row r="726" ht="14.25" customHeight="1"/>
    <row r="727" ht="14.25" customHeight="1"/>
    <row r="728" ht="14.25" customHeight="1"/>
    <row r="729" ht="14.25" customHeight="1"/>
    <row r="730" ht="14.25" customHeight="1"/>
    <row r="731" ht="14.25" customHeight="1"/>
    <row r="732" ht="14.25" customHeight="1"/>
    <row r="733" ht="14.25" customHeight="1"/>
    <row r="734" ht="14.25" customHeight="1"/>
    <row r="735" ht="14.25" customHeight="1"/>
    <row r="736" ht="14.25" customHeight="1"/>
    <row r="737" ht="14.25" customHeight="1"/>
    <row r="738" ht="14.25" customHeight="1"/>
    <row r="739" ht="14.25" customHeight="1"/>
    <row r="740" ht="14.25" customHeight="1"/>
    <row r="741" ht="14.25" customHeight="1"/>
    <row r="742" ht="14.25" customHeight="1"/>
    <row r="743" ht="14.25" customHeight="1"/>
    <row r="744" ht="14.25" customHeight="1"/>
    <row r="745" ht="14.25" customHeight="1"/>
    <row r="746" ht="14.25" customHeight="1"/>
    <row r="747" ht="14.25" customHeight="1"/>
    <row r="748" ht="14.25" customHeight="1"/>
    <row r="749" ht="14.25" customHeight="1"/>
    <row r="750" ht="14.25" customHeight="1"/>
    <row r="751" ht="14.25" customHeight="1"/>
    <row r="752" ht="14.25" customHeight="1"/>
    <row r="753" ht="14.25" customHeight="1"/>
    <row r="754" ht="14.25" customHeight="1"/>
    <row r="755" ht="14.25" customHeight="1"/>
    <row r="756" ht="14.25" customHeight="1"/>
    <row r="757" ht="14.25" customHeight="1"/>
    <row r="758" ht="14.25" customHeight="1"/>
    <row r="759" ht="14.25" customHeight="1"/>
    <row r="760" ht="14.25" customHeight="1"/>
    <row r="761" ht="14.25" customHeight="1"/>
    <row r="762" ht="14.25" customHeight="1"/>
    <row r="763" ht="14.25" customHeight="1"/>
    <row r="764" ht="14.25" customHeight="1"/>
    <row r="765" ht="14.25" customHeight="1"/>
    <row r="766" ht="14.25" customHeight="1"/>
    <row r="767" ht="14.25" customHeight="1"/>
    <row r="768" ht="14.25" customHeight="1"/>
    <row r="769" ht="14.25" customHeight="1"/>
    <row r="770" ht="14.25" customHeight="1"/>
    <row r="771" ht="14.25" customHeight="1"/>
    <row r="772" ht="14.25" customHeight="1"/>
    <row r="773" ht="14.25" customHeight="1"/>
    <row r="774" ht="14.25" customHeight="1"/>
    <row r="775" ht="14.25" customHeight="1"/>
    <row r="776" ht="14.25" customHeight="1"/>
    <row r="777" ht="14.25" customHeight="1"/>
    <row r="778" ht="14.25" customHeight="1"/>
    <row r="779" ht="14.25" customHeight="1"/>
    <row r="780" ht="14.25" customHeight="1"/>
    <row r="781" ht="14.25" customHeight="1"/>
    <row r="782" ht="14.25" customHeight="1"/>
    <row r="783" ht="14.25" customHeight="1"/>
    <row r="784" ht="14.25" customHeight="1"/>
    <row r="785" ht="14.25" customHeight="1"/>
    <row r="786" ht="14.25" customHeight="1"/>
    <row r="787" ht="14.25" customHeight="1"/>
    <row r="788" ht="14.25" customHeight="1"/>
    <row r="789" ht="14.25" customHeight="1"/>
    <row r="790" ht="14.25" customHeight="1"/>
    <row r="791" ht="14.25" customHeight="1"/>
    <row r="792" ht="14.25" customHeight="1"/>
    <row r="793" ht="14.25" customHeight="1"/>
    <row r="794" ht="14.25" customHeight="1"/>
    <row r="795" ht="14.25" customHeight="1"/>
    <row r="796" ht="14.25" customHeight="1"/>
    <row r="797" ht="14.25" customHeight="1"/>
    <row r="798" ht="14.25" customHeight="1"/>
    <row r="799" ht="14.25" customHeight="1"/>
    <row r="800" ht="14.25" customHeight="1"/>
    <row r="801" ht="14.25" customHeight="1"/>
    <row r="802" ht="14.25" customHeight="1"/>
    <row r="803" ht="14.25" customHeight="1"/>
    <row r="804" ht="14.25" customHeight="1"/>
    <row r="805" ht="14.25" customHeight="1"/>
    <row r="806" ht="14.25" customHeight="1"/>
    <row r="807" ht="14.25" customHeight="1"/>
    <row r="808" ht="14.25" customHeight="1"/>
    <row r="809" ht="14.25" customHeight="1"/>
    <row r="810" ht="14.25" customHeight="1"/>
    <row r="811" ht="14.25" customHeight="1"/>
    <row r="812" ht="14.25" customHeight="1"/>
    <row r="813" ht="14.25" customHeight="1"/>
    <row r="814" ht="14.25" customHeight="1"/>
    <row r="815" ht="14.25" customHeight="1"/>
    <row r="816" ht="14.25" customHeight="1"/>
    <row r="817" ht="14.25" customHeight="1"/>
    <row r="818" ht="14.25" customHeight="1"/>
    <row r="819" ht="14.25" customHeight="1"/>
    <row r="820" ht="14.25" customHeight="1"/>
    <row r="821" ht="14.25" customHeight="1"/>
    <row r="822" ht="14.25" customHeight="1"/>
    <row r="823" ht="14.25" customHeight="1"/>
    <row r="824" ht="14.25" customHeight="1"/>
    <row r="825" ht="14.25" customHeight="1"/>
    <row r="826" ht="14.25" customHeight="1"/>
    <row r="827" ht="14.25" customHeight="1"/>
    <row r="828" ht="14.25" customHeight="1"/>
    <row r="829" ht="14.25" customHeight="1"/>
    <row r="830" ht="14.25" customHeight="1"/>
    <row r="831" ht="14.25" customHeight="1"/>
    <row r="832" ht="14.25" customHeight="1"/>
    <row r="833" ht="14.25" customHeight="1"/>
    <row r="834" ht="14.25" customHeight="1"/>
    <row r="835" ht="14.25" customHeight="1"/>
    <row r="836" ht="14.25" customHeight="1"/>
    <row r="837" ht="14.25" customHeight="1"/>
    <row r="838" ht="14.25" customHeight="1"/>
    <row r="839" ht="14.25" customHeight="1"/>
    <row r="840" ht="14.25" customHeight="1"/>
    <row r="841" ht="14.25" customHeight="1"/>
    <row r="842" ht="14.25" customHeight="1"/>
    <row r="843" ht="14.25" customHeight="1"/>
    <row r="844" ht="14.25" customHeight="1"/>
    <row r="845" ht="14.25" customHeight="1"/>
    <row r="846" ht="14.25" customHeight="1"/>
    <row r="847" ht="14.25" customHeight="1"/>
    <row r="848" ht="14.25" customHeight="1"/>
    <row r="849" ht="14.25" customHeight="1"/>
    <row r="850" ht="14.25" customHeight="1"/>
    <row r="851" ht="14.25" customHeight="1"/>
    <row r="852" ht="14.25" customHeight="1"/>
    <row r="853" ht="14.25" customHeight="1"/>
    <row r="854" ht="14.25" customHeight="1"/>
    <row r="855" ht="14.25" customHeight="1"/>
    <row r="856" ht="14.25" customHeight="1"/>
    <row r="857" ht="14.25" customHeight="1"/>
    <row r="858" ht="14.25" customHeight="1"/>
    <row r="859" ht="14.25" customHeight="1"/>
    <row r="860" ht="14.25" customHeight="1"/>
    <row r="861" ht="14.25" customHeight="1"/>
    <row r="862" ht="14.25" customHeight="1"/>
    <row r="863" ht="14.25" customHeight="1"/>
    <row r="864" ht="14.25" customHeight="1"/>
    <row r="865" ht="14.25" customHeight="1"/>
    <row r="866" ht="14.25" customHeight="1"/>
    <row r="867" ht="14.25" customHeight="1"/>
    <row r="868" ht="14.25" customHeight="1"/>
    <row r="869" ht="14.25" customHeight="1"/>
    <row r="870" ht="14.25" customHeight="1"/>
    <row r="871" ht="14.25" customHeight="1"/>
    <row r="872" ht="14.25" customHeight="1"/>
    <row r="873" ht="14.25" customHeight="1"/>
    <row r="874" ht="14.25" customHeight="1"/>
    <row r="875" ht="14.25" customHeight="1"/>
    <row r="876" ht="14.25" customHeight="1"/>
    <row r="877" ht="14.25" customHeight="1"/>
    <row r="878" ht="14.25" customHeight="1"/>
    <row r="879" ht="14.25" customHeight="1"/>
    <row r="880" ht="14.25" customHeight="1"/>
    <row r="881" ht="14.25" customHeight="1"/>
    <row r="882" ht="14.25" customHeight="1"/>
    <row r="883" ht="14.25" customHeight="1"/>
    <row r="884" ht="14.25" customHeight="1"/>
    <row r="885" ht="14.25" customHeight="1"/>
    <row r="886" ht="14.25" customHeight="1"/>
    <row r="887" ht="14.25" customHeight="1"/>
    <row r="888" ht="14.25" customHeight="1"/>
    <row r="889" ht="14.25" customHeight="1"/>
    <row r="890" ht="14.25" customHeight="1"/>
    <row r="891" ht="14.25" customHeight="1"/>
    <row r="892" ht="14.25" customHeight="1"/>
    <row r="893" ht="14.25" customHeight="1"/>
    <row r="894" ht="14.25" customHeight="1"/>
    <row r="895" ht="14.25" customHeight="1"/>
    <row r="896" ht="14.25" customHeight="1"/>
    <row r="897" ht="14.25" customHeight="1"/>
    <row r="898" ht="14.25" customHeight="1"/>
    <row r="899" ht="14.25" customHeight="1"/>
    <row r="900" ht="14.25" customHeight="1"/>
    <row r="901" ht="14.25" customHeight="1"/>
    <row r="902" ht="14.25" customHeight="1"/>
    <row r="903" ht="14.25" customHeight="1"/>
    <row r="904" ht="14.25" customHeight="1"/>
    <row r="905" ht="14.25" customHeight="1"/>
    <row r="906" ht="14.25" customHeight="1"/>
    <row r="907" ht="14.25" customHeight="1"/>
    <row r="908" ht="14.25" customHeight="1"/>
    <row r="909" ht="14.25" customHeight="1"/>
    <row r="910" ht="14.25" customHeight="1"/>
    <row r="911" ht="14.25" customHeight="1"/>
    <row r="912" ht="14.25" customHeight="1"/>
    <row r="913" ht="14.25" customHeight="1"/>
    <row r="914" ht="14.25" customHeight="1"/>
    <row r="915" ht="14.25" customHeight="1"/>
    <row r="916" ht="14.25" customHeight="1"/>
    <row r="917" ht="14.25" customHeight="1"/>
    <row r="918" ht="14.25" customHeight="1"/>
    <row r="919" ht="14.25" customHeight="1"/>
    <row r="920" ht="14.25" customHeight="1"/>
    <row r="921" ht="14.25" customHeight="1"/>
    <row r="922" ht="14.25" customHeight="1"/>
    <row r="923" ht="14.25" customHeight="1"/>
    <row r="924" ht="14.25" customHeight="1"/>
    <row r="925" ht="14.25" customHeight="1"/>
    <row r="926" ht="14.25" customHeight="1"/>
    <row r="927" ht="14.25" customHeight="1"/>
    <row r="928" ht="14.25" customHeight="1"/>
    <row r="929" ht="14.25" customHeight="1"/>
    <row r="930" ht="14.25" customHeight="1"/>
    <row r="931" ht="14.25" customHeight="1"/>
    <row r="932" ht="14.25" customHeight="1"/>
    <row r="933" ht="14.25" customHeight="1"/>
    <row r="934" ht="14.25" customHeight="1"/>
    <row r="935" ht="14.25" customHeight="1"/>
    <row r="936" ht="14.25" customHeight="1"/>
    <row r="937" ht="14.25" customHeight="1"/>
    <row r="938" ht="14.25" customHeight="1"/>
    <row r="939" ht="14.25" customHeight="1"/>
    <row r="940" ht="14.25" customHeight="1"/>
    <row r="941" ht="14.25" customHeight="1"/>
    <row r="942" ht="14.25" customHeight="1"/>
    <row r="943" ht="14.25" customHeight="1"/>
    <row r="944" ht="14.25" customHeight="1"/>
    <row r="945" ht="14.25" customHeight="1"/>
    <row r="946" ht="14.25" customHeight="1"/>
    <row r="947" ht="14.25" customHeight="1"/>
    <row r="948" ht="14.25" customHeight="1"/>
    <row r="949" ht="14.25" customHeight="1"/>
    <row r="950" ht="14.25" customHeight="1"/>
    <row r="951" ht="14.25" customHeight="1"/>
    <row r="952" ht="14.25" customHeight="1"/>
    <row r="953" ht="14.25" customHeight="1"/>
    <row r="954" ht="14.25" customHeight="1"/>
    <row r="955" ht="14.25" customHeight="1"/>
    <row r="956" ht="14.25" customHeight="1"/>
    <row r="957" ht="14.25" customHeight="1"/>
    <row r="958" ht="14.25" customHeight="1"/>
    <row r="959" ht="14.25" customHeight="1"/>
    <row r="960" ht="14.25" customHeight="1"/>
    <row r="961" ht="14.25" customHeight="1"/>
    <row r="962" ht="14.25" customHeight="1"/>
    <row r="963" ht="14.25" customHeight="1"/>
    <row r="964" ht="14.25" customHeight="1"/>
    <row r="965" ht="14.25" customHeight="1"/>
    <row r="966" ht="14.25" customHeight="1"/>
    <row r="967" ht="14.25" customHeight="1"/>
    <row r="968" ht="14.25" customHeight="1"/>
    <row r="969" ht="14.25" customHeight="1"/>
    <row r="970" ht="14.25" customHeight="1"/>
    <row r="971" ht="14.25" customHeight="1"/>
    <row r="972" ht="14.25" customHeight="1"/>
    <row r="973" ht="14.25" customHeight="1"/>
    <row r="974" ht="14.25" customHeight="1"/>
    <row r="975" ht="14.25" customHeight="1"/>
    <row r="976" ht="14.25" customHeight="1"/>
    <row r="977" ht="14.25" customHeight="1"/>
    <row r="978" ht="14.25" customHeight="1"/>
    <row r="979" ht="14.25" customHeight="1"/>
    <row r="980" ht="14.25" customHeight="1"/>
    <row r="981" ht="14.25" customHeight="1"/>
    <row r="982" ht="14.25" customHeight="1"/>
    <row r="983" ht="14.25" customHeight="1"/>
    <row r="984" ht="14.25" customHeight="1"/>
    <row r="985" ht="14.25" customHeight="1"/>
    <row r="986" ht="14.25" customHeight="1"/>
    <row r="987" ht="14.25" customHeight="1"/>
    <row r="988" ht="14.25" customHeight="1"/>
    <row r="989" ht="14.25" customHeight="1"/>
    <row r="990" ht="14.25" customHeight="1"/>
    <row r="991" ht="14.25" customHeight="1"/>
    <row r="992" ht="14.25" customHeight="1"/>
    <row r="993" ht="14.25" customHeight="1"/>
    <row r="994" ht="14.25" customHeight="1"/>
    <row r="995" ht="14.25" customHeight="1"/>
    <row r="996" ht="14.25" customHeight="1"/>
    <row r="997" ht="14.25" customHeight="1"/>
    <row r="998" ht="14.25" customHeight="1"/>
    <row r="999" ht="14.25" customHeight="1"/>
    <row r="1000" ht="14.25" customHeight="1"/>
    <row r="1001" ht="14.25" customHeight="1"/>
    <row r="1002" ht="14.25" customHeight="1"/>
    <row r="1003" ht="14.25" customHeight="1"/>
    <row r="1004" ht="14.25" customHeight="1"/>
    <row r="1005" ht="14.25" customHeight="1"/>
    <row r="1006" ht="14.25" customHeight="1"/>
    <row r="1007" ht="14.25" customHeight="1"/>
  </sheetData>
  <mergeCells count="17">
    <mergeCell ref="B30:B32"/>
    <mergeCell ref="A6:A36"/>
    <mergeCell ref="B34:B36"/>
    <mergeCell ref="B22:B24"/>
    <mergeCell ref="B14:B16"/>
    <mergeCell ref="B6:B8"/>
    <mergeCell ref="B26:B28"/>
    <mergeCell ref="B18:B20"/>
    <mergeCell ref="B10:B12"/>
    <mergeCell ref="I26:I28"/>
    <mergeCell ref="I30:I32"/>
    <mergeCell ref="I34:I36"/>
    <mergeCell ref="I6:I8"/>
    <mergeCell ref="I10:I12"/>
    <mergeCell ref="I14:I16"/>
    <mergeCell ref="I18:I20"/>
    <mergeCell ref="I22:I24"/>
  </mergeCells>
  <conditionalFormatting sqref="I6:I8">
    <cfRule type="expression" dxfId="56" priority="25">
      <formula>I6="E"</formula>
    </cfRule>
    <cfRule type="expression" dxfId="55" priority="26">
      <formula>I6="P"</formula>
    </cfRule>
    <cfRule type="expression" dxfId="54" priority="27">
      <formula>I6="N"</formula>
    </cfRule>
  </conditionalFormatting>
  <conditionalFormatting sqref="I9 I13">
    <cfRule type="expression" dxfId="53" priority="29">
      <formula>COUNTIF($I$6:$I$8,"X")&gt;1</formula>
    </cfRule>
  </conditionalFormatting>
  <conditionalFormatting sqref="I10:I12">
    <cfRule type="expression" dxfId="52" priority="19">
      <formula>I10="E"</formula>
    </cfRule>
    <cfRule type="expression" dxfId="51" priority="20">
      <formula>I10="P"</formula>
    </cfRule>
    <cfRule type="expression" dxfId="50" priority="21">
      <formula>I10="N"</formula>
    </cfRule>
  </conditionalFormatting>
  <conditionalFormatting sqref="I14:I16">
    <cfRule type="expression" dxfId="49" priority="16">
      <formula>I14="E"</formula>
    </cfRule>
    <cfRule type="expression" dxfId="48" priority="17">
      <formula>I14="P"</formula>
    </cfRule>
    <cfRule type="expression" dxfId="47" priority="18">
      <formula>I14="N"</formula>
    </cfRule>
  </conditionalFormatting>
  <conditionalFormatting sqref="I18:I20">
    <cfRule type="expression" dxfId="46" priority="13">
      <formula>I18="E"</formula>
    </cfRule>
    <cfRule type="expression" dxfId="45" priority="14">
      <formula>I18="P"</formula>
    </cfRule>
    <cfRule type="expression" dxfId="44" priority="15">
      <formula>I18="N"</formula>
    </cfRule>
  </conditionalFormatting>
  <conditionalFormatting sqref="I22:I24">
    <cfRule type="expression" dxfId="43" priority="10">
      <formula>I22="E"</formula>
    </cfRule>
    <cfRule type="expression" dxfId="42" priority="11">
      <formula>I22="P"</formula>
    </cfRule>
    <cfRule type="expression" dxfId="41" priority="12">
      <formula>I22="N"</formula>
    </cfRule>
  </conditionalFormatting>
  <conditionalFormatting sqref="I26:I28">
    <cfRule type="expression" dxfId="40" priority="7">
      <formula>I26="E"</formula>
    </cfRule>
    <cfRule type="expression" dxfId="39" priority="8">
      <formula>I26="P"</formula>
    </cfRule>
    <cfRule type="expression" dxfId="38" priority="9">
      <formula>I26="N"</formula>
    </cfRule>
  </conditionalFormatting>
  <conditionalFormatting sqref="I30:I32">
    <cfRule type="expression" dxfId="37" priority="4">
      <formula>I30="E"</formula>
    </cfRule>
    <cfRule type="expression" dxfId="36" priority="5">
      <formula>I30="P"</formula>
    </cfRule>
    <cfRule type="expression" dxfId="35" priority="6">
      <formula>I30="N"</formula>
    </cfRule>
  </conditionalFormatting>
  <conditionalFormatting sqref="I34:I36">
    <cfRule type="expression" dxfId="34" priority="1">
      <formula>I34="E"</formula>
    </cfRule>
    <cfRule type="expression" dxfId="33" priority="2">
      <formula>I34="P"</formula>
    </cfRule>
    <cfRule type="expression" dxfId="32" priority="3">
      <formula>I34="N"</formula>
    </cfRule>
  </conditionalFormatting>
  <dataValidations count="1">
    <dataValidation type="list" allowBlank="1" showInputMessage="1" showErrorMessage="1" sqref="I6:I8 I30:I32 I10:I12 I14:I16 I18:I20 I22:I24 I26:I28 I34:I36" xr:uid="{DA52B05F-7F67-4537-A6B9-C6E990770A9B}">
      <formula1>"N, P, E"</formula1>
    </dataValidation>
  </dataValidations>
  <pageMargins left="0.7" right="0.7" top="0.75" bottom="0.75" header="0" footer="0"/>
  <pageSetup orientation="landscape"/>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4AE597E6-CC91-4F17-8E48-BFE9532282FD}">
          <x14:formula1>
            <xm:f>'Role-Level Mapping'!$A$2:$A4</xm:f>
          </x14:formula1>
          <xm:sqref>E3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76DE0F-6A58-4FC6-9F90-2C05DD74A737}">
  <sheetPr codeName="Sheet3"/>
  <dimension ref="A1:M18"/>
  <sheetViews>
    <sheetView topLeftCell="A5" workbookViewId="0">
      <selection activeCell="G11" sqref="G11"/>
    </sheetView>
  </sheetViews>
  <sheetFormatPr defaultRowHeight="14.5"/>
  <cols>
    <col min="1" max="1" width="31.26953125" bestFit="1" customWidth="1"/>
    <col min="2" max="2" width="19.7265625" customWidth="1"/>
    <col min="3" max="3" width="15" customWidth="1"/>
    <col min="4" max="4" width="20.1796875" customWidth="1"/>
    <col min="5" max="5" width="20" customWidth="1"/>
    <col min="6" max="6" width="20.1796875" bestFit="1" customWidth="1"/>
    <col min="7" max="7" width="20.1796875" customWidth="1"/>
    <col min="8" max="8" width="29.1796875" bestFit="1" customWidth="1"/>
    <col min="9" max="9" width="24.54296875" customWidth="1"/>
    <col min="10" max="10" width="28.1796875" customWidth="1"/>
    <col min="11" max="11" width="29.54296875" customWidth="1"/>
  </cols>
  <sheetData>
    <row r="1" spans="1:13" ht="36">
      <c r="A1" s="18" t="s">
        <v>195</v>
      </c>
      <c r="B1" s="53" t="s">
        <v>196</v>
      </c>
      <c r="D1" s="7" t="str">
        <f>'Role-Level Mapping'!B1</f>
        <v>Financial Crime Detection &amp; Prevention</v>
      </c>
      <c r="E1" s="7" t="str">
        <f>'Role-Level Mapping'!C1</f>
        <v>Research &amp; Risk Identification From Reporting</v>
      </c>
      <c r="F1" s="7" t="str">
        <f>'Role-Level Mapping'!D1</f>
        <v>Inspection, Audit &amp; Supervision Support</v>
      </c>
      <c r="G1" s="7" t="str">
        <f>'Role-Level Mapping'!E1</f>
        <v>Supporting Enforcement As A SME</v>
      </c>
      <c r="H1" s="7" t="str">
        <f>'Role-Level Mapping'!F1</f>
        <v>Outreach, Education &amp; Guidance</v>
      </c>
      <c r="I1" s="7" t="str">
        <f>'Role-Level Mapping'!G1</f>
        <v>International Co-Operation &amp; Relationship Management</v>
      </c>
      <c r="J1" s="7" t="str">
        <f>'Role-Level Mapping'!H1</f>
        <v>Policy &amp; Procedure Drafting For Diverse Users</v>
      </c>
      <c r="K1" s="7" t="str">
        <f>'Role-Level Mapping'!I1</f>
        <v>Technology &amp; Innovation In FCP</v>
      </c>
    </row>
    <row r="2" spans="1:13">
      <c r="A2" s="8" t="s">
        <v>197</v>
      </c>
      <c r="B2" s="30" t="s">
        <v>198</v>
      </c>
      <c r="C2" s="7" t="s">
        <v>199</v>
      </c>
      <c r="D2" s="54" t="s">
        <v>104</v>
      </c>
      <c r="E2" s="21" t="s">
        <v>104</v>
      </c>
      <c r="F2" s="21" t="s">
        <v>104</v>
      </c>
      <c r="G2" s="21" t="s">
        <v>104</v>
      </c>
      <c r="H2" s="54" t="s">
        <v>99</v>
      </c>
      <c r="I2" s="21" t="s">
        <v>99</v>
      </c>
      <c r="J2" s="21" t="s">
        <v>104</v>
      </c>
      <c r="K2" s="21" t="s">
        <v>99</v>
      </c>
      <c r="L2">
        <f>(COUNTIF(D2:K2,"E")*3+COUNTIF(D2:K2,"P")*2+COUNTIF(D2:K2,"N")*1)/COUNTA(D2:K2)</f>
        <v>2.625</v>
      </c>
    </row>
    <row r="3" spans="1:13">
      <c r="A3" s="8" t="s">
        <v>200</v>
      </c>
      <c r="B3" s="46" t="str" cm="1">
        <f t="array" aca="1" ref="B3" ca="1">MID(CELL("filename",A1),FIND("]",CELL("filename",A1))+1,255)</f>
        <v>Head of FCP</v>
      </c>
      <c r="C3" s="7" t="s">
        <v>201</v>
      </c>
      <c r="D3" s="54" t="str">
        <f>'Role-Level Mapping'!B2</f>
        <v>E</v>
      </c>
      <c r="E3" s="54" t="str">
        <f>'Role-Level Mapping'!C2</f>
        <v>E</v>
      </c>
      <c r="F3" s="54" t="str">
        <f>'Role-Level Mapping'!D2</f>
        <v>E</v>
      </c>
      <c r="G3" s="54" t="str">
        <f>'Role-Level Mapping'!E2</f>
        <v>E</v>
      </c>
      <c r="H3" s="54" t="str">
        <f>'Role-Level Mapping'!F2</f>
        <v>E</v>
      </c>
      <c r="I3" s="54" t="str">
        <f>'Role-Level Mapping'!G2</f>
        <v>E</v>
      </c>
      <c r="J3" s="54" t="str">
        <f>'Role-Level Mapping'!H2</f>
        <v>E</v>
      </c>
      <c r="K3" s="54" t="str">
        <f>'Role-Level Mapping'!I2</f>
        <v>E</v>
      </c>
    </row>
    <row r="4" spans="1:13">
      <c r="A4" s="45" t="s">
        <v>202</v>
      </c>
      <c r="B4" s="54" t="str">
        <f>IF(L2&gt;=2.5,"E",IF(L2&gt;=1.5,"P","N"))</f>
        <v>E</v>
      </c>
      <c r="C4" s="7" t="s">
        <v>203</v>
      </c>
      <c r="D4" s="9" t="str">
        <f>IF(
    MATCH(D2,{"N","P","E"},0) &gt; MATCH(D3,{"N","P","E"},0),
    "Exceeded",
    IF(
        MATCH(D2,{"N","P","E"},0) &lt; MATCH(D3,{"N","P","E"},0),
        "Developing",
        "Met"
    )
)</f>
        <v>Met</v>
      </c>
      <c r="E4" s="9" t="str">
        <f>IF(
    MATCH(E2,{"N","P","E"},0) &gt; MATCH(E3,{"N","P","E"},0),
    "Exceeded",
    IF(
        MATCH(E2,{"N","P","E"},0) &lt; MATCH(E3,{"N","P","E"},0),
        "Developing",
        "Met"
    )
)</f>
        <v>Met</v>
      </c>
      <c r="F4" s="9" t="str">
        <f>IF(
    MATCH(F2,{"N","P","E"},0) &gt; MATCH(F3,{"N","P","E"},0),
    "Exceeded",
    IF(
        MATCH(F2,{"N","P","E"},0) &lt; MATCH(F3,{"N","P","E"},0),
        "Developing",
        "Met"
    )
)</f>
        <v>Met</v>
      </c>
      <c r="G4" s="9" t="str">
        <f>IF(
    MATCH(G2,{"N","P","E"},0) &gt; MATCH(G3,{"N","P","E"},0),
    "Exceeded",
    IF(
        MATCH(G2,{"N","P","E"},0) &lt; MATCH(G3,{"N","P","E"},0),
        "Developing",
        "Met"
    )
)</f>
        <v>Met</v>
      </c>
      <c r="H4" s="9" t="str">
        <f>IF(
    MATCH(H2,{"N","P","E"},0) &gt; MATCH(H3,{"N","P","E"},0),
    "Exceeded",
    IF(
        MATCH(H2,{"N","P","E"},0) &lt; MATCH(H3,{"N","P","E"},0),
        "Developing",
        "Met"
    )
)</f>
        <v>Developing</v>
      </c>
      <c r="I4" s="9" t="str">
        <f>IF(
    MATCH(I2,{"N","P","E"},0) &gt; MATCH(I3,{"N","P","E"},0),
    "Exceeded",
    IF(
        MATCH(I2,{"N","P","E"},0) &lt; MATCH(I3,{"N","P","E"},0),
        "Developing",
        "Met"
    )
)</f>
        <v>Developing</v>
      </c>
      <c r="J4" s="9" t="str">
        <f>IF(
    MATCH(J2,{"N","P","E"},0) &gt; MATCH(J3,{"N","P","E"},0),
    "Exceeded",
    IF(
        MATCH(J2,{"N","P","E"},0) &lt; MATCH(J3,{"N","P","E"},0),
        "Developing",
        "Met"
    )
)</f>
        <v>Met</v>
      </c>
      <c r="K4" s="9" t="str">
        <f>IF(
    MATCH(K2,{"N","P","E"},0) &gt; MATCH(K3,{"N","P","E"},0),
    "Exceeded",
    IF(
        MATCH(K2,{"N","P","E"},0) &lt; MATCH(K3,{"N","P","E"},0),
        "Developing",
        "Met"
    )
)</f>
        <v>Developing</v>
      </c>
    </row>
    <row r="5" spans="1:13" ht="31.5">
      <c r="A5" s="8" t="s">
        <v>204</v>
      </c>
      <c r="B5" s="47">
        <f ca="1">TODAY()</f>
        <v>46259</v>
      </c>
      <c r="C5" s="7" t="s">
        <v>205</v>
      </c>
      <c r="D5" s="10" t="str" cm="1">
        <f t="array" ref="D5">_xlfn.IFS(D2="N",FCP!$H6,D2="P",FCP!$H7,D2="E",FCP!$H8)</f>
        <v>Develops Strategic Perspective; Inspires and Motivates Others; Champions Change</v>
      </c>
      <c r="E5" s="10" t="str" cm="1">
        <f t="array" ref="E5">_xlfn.IFS(E2="N",FCP!$H10,E2="P",FCP!$H11,E2="E",FCP!$H12)</f>
        <v>Develops Strategic Perspective; Champions Change; Inspires and Motivates Others</v>
      </c>
      <c r="F5" s="10" t="str" cm="1">
        <f t="array" ref="F5">_xlfn.IFS(F2="N",FCP!$H14,F2="P",FCP!$H15,F2="E",FCP!$H16)</f>
        <v>Develops Strategic Perspective; Inspires and Motivates Others; Champions Change</v>
      </c>
      <c r="G5" s="10" t="str" cm="1">
        <f t="array" ref="G5">_xlfn.IFS(G2="N",FCP!$H18,G2="P",FCP!$H19,G2="E",FCP!$H20)</f>
        <v>Champions Change; Develops Strategic Perspective; Inspires and Motivates Others</v>
      </c>
      <c r="H5" s="10" t="str" cm="1">
        <f t="array" ref="H5">_xlfn.IFS(H2="N",FCP!$H22,H2="P",FCP!$H23,H2="E",FCP!$H24)</f>
        <v>Inspires and Motivates Others; Develops Others; Makes Decisions</v>
      </c>
      <c r="I5" s="10" t="str" cm="1">
        <f t="array" ref="I5">_xlfn.IFS(I2="N",FCP!$H26,I2="P",FCP!$H27,I2="E",FCP!$H28)</f>
        <v>Builds Relationships; Collaboration and Teamwork; Makes Decisions</v>
      </c>
      <c r="J5" s="10" cm="1">
        <f t="array" ref="J5">_xlfn.IFS(J2="N",FCP!$H27,J2="P",FCP!$H28,J2="E",FCP!$H29)</f>
        <v>0</v>
      </c>
      <c r="K5" s="10" t="str" cm="1">
        <f t="array" ref="K5">_xlfn.IFS(K2="N",FCP!$H34,K2="P",FCP!$H35,K2="E",FCP!$H36)</f>
        <v>Champions Change; Makes Decisions; Learning Agility</v>
      </c>
    </row>
    <row r="6" spans="1:13" ht="31.5">
      <c r="A6" s="8"/>
      <c r="B6" s="8"/>
      <c r="C6" s="7" t="s">
        <v>206</v>
      </c>
      <c r="D6" s="10" t="str" cm="1">
        <f t="array" ref="D6">_xlfn.IFS(D3="N",FCP!$H6,D3="P",FCP!$H7,D3="E",FCP!$H8)</f>
        <v>Develops Strategic Perspective; Inspires and Motivates Others; Champions Change</v>
      </c>
      <c r="E6" s="10" t="str" cm="1">
        <f t="array" ref="E6">_xlfn.IFS(E3="N",FCP!$H10,E3="P",FCP!$H11,E3="E",FCP!$H12)</f>
        <v>Develops Strategic Perspective; Champions Change; Inspires and Motivates Others</v>
      </c>
      <c r="F6" s="10" t="str" cm="1">
        <f t="array" ref="F6">_xlfn.IFS(F3="N",FCP!$H14,F3="P",FCP!$H15,F3="E",FCP!$H16)</f>
        <v>Develops Strategic Perspective; Inspires and Motivates Others; Champions Change</v>
      </c>
      <c r="G6" s="10" t="str" cm="1">
        <f t="array" ref="G6">_xlfn.IFS(G3="N",FCP!$H18,G3="P",FCP!$H19,G3="E",FCP!$H20)</f>
        <v>Champions Change; Develops Strategic Perspective; Inspires and Motivates Others</v>
      </c>
      <c r="H6" s="10" t="str" cm="1">
        <f t="array" ref="H6">_xlfn.IFS(H3="N",FCP!$H22,H3="P",FCP!$H23,H3="E",FCP!$H24)</f>
        <v>Champions Change; Develops Strategic Perspective; Inspires and Motivates Others</v>
      </c>
      <c r="I6" s="10" t="str" cm="1">
        <f t="array" ref="I6">_xlfn.IFS(I3="N",FCP!$H26,I3="P",FCP!$H27,I3="E",FCP!$H28)</f>
        <v>Develops Strategic Perspective; Inspires and Motivates Others; Champions Change</v>
      </c>
      <c r="J6" s="10" t="str" cm="1">
        <f t="array" ref="J6">_xlfn.IFS(J3="N",FCP!$H30,J3="P",FCP!$H31,J3="E",FCP!$H32)</f>
        <v>Champions Change; Develops Strategic Perspective; Inspires and Motivates Others</v>
      </c>
      <c r="K6" s="10" t="str" cm="1">
        <f t="array" ref="K6">_xlfn.IFS(K3="N",FCP!$H34,K3="P",FCP!$H35,K3="E",FCP!$H36)</f>
        <v>Champions Change; Develops Strategic Perspective; Inspires and Motivates Others</v>
      </c>
    </row>
    <row r="7" spans="1:13" ht="31.5">
      <c r="A7" s="8"/>
      <c r="B7" s="8"/>
      <c r="C7" s="7" t="s">
        <v>207</v>
      </c>
      <c r="D7" s="31" t="s">
        <v>208</v>
      </c>
      <c r="E7" s="31" t="s">
        <v>209</v>
      </c>
      <c r="F7" s="31" t="s">
        <v>210</v>
      </c>
      <c r="G7" s="31" t="s">
        <v>211</v>
      </c>
      <c r="H7" s="31" t="s">
        <v>212</v>
      </c>
      <c r="I7" s="31" t="s">
        <v>213</v>
      </c>
      <c r="J7" s="31" t="s">
        <v>214</v>
      </c>
      <c r="K7" s="31" t="s">
        <v>215</v>
      </c>
    </row>
    <row r="10" spans="1:13">
      <c r="A10" s="57" t="s">
        <v>216</v>
      </c>
      <c r="B10" s="57"/>
      <c r="C10" s="57"/>
      <c r="D10" s="57"/>
      <c r="E10" s="57"/>
      <c r="F10" s="57"/>
      <c r="H10" s="57" t="s">
        <v>217</v>
      </c>
      <c r="I10" s="57"/>
      <c r="J10" s="57"/>
      <c r="K10" s="57"/>
      <c r="L10" s="57"/>
      <c r="M10" s="57"/>
    </row>
    <row r="11" spans="1:13" ht="98.15" customHeight="1">
      <c r="A11" s="23" t="s">
        <v>218</v>
      </c>
      <c r="B11" s="58">
        <f>COUNTIF(D4:K4,"Met")+COUNTIF(D4:K4,"Exceeded")</f>
        <v>5</v>
      </c>
      <c r="C11" s="58"/>
      <c r="D11" s="58"/>
      <c r="E11" s="58"/>
      <c r="F11" s="58"/>
      <c r="H11" s="23" t="s">
        <v>219</v>
      </c>
      <c r="I11" s="23" t="s">
        <v>220</v>
      </c>
      <c r="J11" s="56" t="s">
        <v>221</v>
      </c>
      <c r="K11" s="56"/>
      <c r="L11" s="56"/>
      <c r="M11" s="56"/>
    </row>
    <row r="12" spans="1:13" ht="112" customHeight="1">
      <c r="A12" s="23" t="s">
        <v>222</v>
      </c>
      <c r="B12" s="56" t="s">
        <v>223</v>
      </c>
      <c r="C12" s="56"/>
      <c r="D12" s="56"/>
      <c r="E12" s="56"/>
      <c r="F12" s="56"/>
      <c r="H12" s="23" t="s">
        <v>224</v>
      </c>
      <c r="I12" s="23" t="s">
        <v>225</v>
      </c>
      <c r="J12" s="56" t="s">
        <v>226</v>
      </c>
      <c r="K12" s="56"/>
      <c r="L12" s="56"/>
      <c r="M12" s="56"/>
    </row>
    <row r="13" spans="1:13" ht="121" customHeight="1">
      <c r="A13" s="23" t="s">
        <v>227</v>
      </c>
      <c r="B13" s="56" t="s">
        <v>228</v>
      </c>
      <c r="C13" s="56"/>
      <c r="D13" s="56"/>
      <c r="E13" s="56"/>
      <c r="F13" s="56"/>
      <c r="H13" s="23" t="s">
        <v>229</v>
      </c>
      <c r="I13" s="23" t="s">
        <v>230</v>
      </c>
      <c r="J13" s="56" t="s">
        <v>231</v>
      </c>
      <c r="K13" s="56"/>
      <c r="L13" s="56"/>
      <c r="M13" s="56"/>
    </row>
    <row r="14" spans="1:13" ht="140.15" customHeight="1">
      <c r="A14" s="23" t="s">
        <v>232</v>
      </c>
      <c r="B14" s="56" t="s">
        <v>233</v>
      </c>
      <c r="C14" s="56"/>
      <c r="D14" s="56"/>
      <c r="E14" s="56"/>
      <c r="F14" s="56"/>
      <c r="H14" s="22" t="s">
        <v>234</v>
      </c>
      <c r="I14" s="23" t="s">
        <v>235</v>
      </c>
      <c r="J14" s="56" t="s">
        <v>236</v>
      </c>
      <c r="K14" s="56"/>
      <c r="L14" s="56"/>
      <c r="M14" s="56"/>
    </row>
    <row r="15" spans="1:13" ht="119.15" customHeight="1">
      <c r="A15" s="23" t="s">
        <v>237</v>
      </c>
      <c r="B15" s="56" t="s">
        <v>238</v>
      </c>
      <c r="C15" s="56"/>
      <c r="D15" s="56"/>
      <c r="E15" s="56"/>
      <c r="F15" s="56"/>
      <c r="H15" s="22" t="s">
        <v>239</v>
      </c>
      <c r="I15" s="23" t="s">
        <v>240</v>
      </c>
      <c r="J15" s="56" t="s">
        <v>241</v>
      </c>
      <c r="K15" s="56"/>
      <c r="L15" s="56"/>
      <c r="M15" s="56"/>
    </row>
    <row r="16" spans="1:13" ht="82.5" customHeight="1">
      <c r="A16" s="23" t="s">
        <v>242</v>
      </c>
      <c r="B16" s="56" t="s">
        <v>243</v>
      </c>
      <c r="C16" s="56"/>
      <c r="D16" s="56"/>
      <c r="E16" s="56"/>
      <c r="F16" s="56"/>
      <c r="H16" s="22"/>
    </row>
    <row r="17" spans="1:8" ht="39" customHeight="1">
      <c r="A17" s="23" t="s">
        <v>244</v>
      </c>
      <c r="B17" s="56" t="s">
        <v>245</v>
      </c>
      <c r="C17" s="56"/>
      <c r="D17" s="56"/>
      <c r="E17" s="56"/>
      <c r="F17" s="56"/>
      <c r="H17" s="22"/>
    </row>
    <row r="18" spans="1:8" ht="43.5" customHeight="1">
      <c r="A18" s="23" t="s">
        <v>246</v>
      </c>
      <c r="B18" s="56" t="s">
        <v>247</v>
      </c>
      <c r="C18" s="56"/>
      <c r="D18" s="56"/>
      <c r="E18" s="56"/>
      <c r="F18" s="56"/>
      <c r="H18" s="22"/>
    </row>
  </sheetData>
  <mergeCells count="15">
    <mergeCell ref="J13:M13"/>
    <mergeCell ref="J14:M14"/>
    <mergeCell ref="J15:M15"/>
    <mergeCell ref="A10:F10"/>
    <mergeCell ref="H10:M10"/>
    <mergeCell ref="B11:F11"/>
    <mergeCell ref="J11:M11"/>
    <mergeCell ref="J12:M12"/>
    <mergeCell ref="B16:F16"/>
    <mergeCell ref="B17:F17"/>
    <mergeCell ref="B18:F18"/>
    <mergeCell ref="B12:F12"/>
    <mergeCell ref="B13:F13"/>
    <mergeCell ref="B14:F14"/>
    <mergeCell ref="B15:F15"/>
  </mergeCells>
  <conditionalFormatting sqref="D2:K3">
    <cfRule type="containsText" dxfId="67" priority="10" operator="containsText" text="P">
      <formula>NOT(ISERROR(SEARCH("P",D2)))</formula>
    </cfRule>
    <cfRule type="containsText" dxfId="66" priority="11" operator="containsText" text="e">
      <formula>NOT(ISERROR(SEARCH("e",D2)))</formula>
    </cfRule>
    <cfRule type="cellIs" dxfId="65" priority="12" operator="equal">
      <formula>"E"</formula>
    </cfRule>
    <cfRule type="cellIs" dxfId="64" priority="13" operator="equal">
      <formula>"N"</formula>
    </cfRule>
  </conditionalFormatting>
  <conditionalFormatting sqref="D4:K4">
    <cfRule type="containsText" dxfId="63" priority="5" operator="containsText" text="MET">
      <formula>NOT(ISERROR(SEARCH("MET",D4)))</formula>
    </cfRule>
    <cfRule type="containsText" dxfId="62" priority="6" operator="containsText" text="DEVELOPING">
      <formula>NOT(ISERROR(SEARCH("DEVELOPING",D4)))</formula>
    </cfRule>
    <cfRule type="containsText" dxfId="61" priority="7" operator="containsText" text="Exceeded">
      <formula>NOT(ISERROR(SEARCH("Exceeded",D4)))</formula>
    </cfRule>
  </conditionalFormatting>
  <conditionalFormatting sqref="B4">
    <cfRule type="containsText" dxfId="60" priority="1" operator="containsText" text="P">
      <formula>NOT(ISERROR(SEARCH("P",B4)))</formula>
    </cfRule>
    <cfRule type="containsText" dxfId="59" priority="2" operator="containsText" text="e">
      <formula>NOT(ISERROR(SEARCH("e",B4)))</formula>
    </cfRule>
    <cfRule type="cellIs" dxfId="58" priority="3" operator="equal">
      <formula>"E"</formula>
    </cfRule>
    <cfRule type="cellIs" dxfId="57" priority="4" operator="equal">
      <formula>"N"</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EE9FE-11E5-4C87-AC6D-5DAD4969BBC0}">
  <sheetPr codeName="Sheet4"/>
  <dimension ref="A1:M18"/>
  <sheetViews>
    <sheetView workbookViewId="0">
      <selection activeCell="B8" sqref="B8"/>
    </sheetView>
  </sheetViews>
  <sheetFormatPr defaultRowHeight="14.5"/>
  <cols>
    <col min="1" max="1" width="31.26953125" bestFit="1" customWidth="1"/>
    <col min="2" max="2" width="20" bestFit="1" customWidth="1"/>
    <col min="3" max="3" width="15" customWidth="1"/>
    <col min="4" max="4" width="20.1796875" customWidth="1"/>
    <col min="5" max="5" width="20" customWidth="1"/>
    <col min="6" max="6" width="20.1796875" bestFit="1" customWidth="1"/>
    <col min="7" max="7" width="20.1796875" customWidth="1"/>
    <col min="8" max="8" width="29.1796875" bestFit="1" customWidth="1"/>
    <col min="9" max="9" width="24.54296875" customWidth="1"/>
    <col min="10" max="10" width="28.1796875" customWidth="1"/>
    <col min="11" max="11" width="29.54296875" customWidth="1"/>
  </cols>
  <sheetData>
    <row r="1" spans="1:13" ht="36">
      <c r="A1" s="18" t="s">
        <v>195</v>
      </c>
      <c r="B1" s="53" t="s">
        <v>196</v>
      </c>
      <c r="D1" s="7" t="str">
        <f>'Role-Level Mapping'!B1</f>
        <v>Financial Crime Detection &amp; Prevention</v>
      </c>
      <c r="E1" s="7" t="str">
        <f>'Role-Level Mapping'!C1</f>
        <v>Research &amp; Risk Identification From Reporting</v>
      </c>
      <c r="F1" s="7" t="str">
        <f>'Role-Level Mapping'!D1</f>
        <v>Inspection, Audit &amp; Supervision Support</v>
      </c>
      <c r="G1" s="7" t="str">
        <f>'Role-Level Mapping'!E1</f>
        <v>Supporting Enforcement As A SME</v>
      </c>
      <c r="H1" s="7" t="str">
        <f>'Role-Level Mapping'!F1</f>
        <v>Outreach, Education &amp; Guidance</v>
      </c>
      <c r="I1" s="7" t="str">
        <f>'Role-Level Mapping'!G1</f>
        <v>International Co-Operation &amp; Relationship Management</v>
      </c>
      <c r="J1" s="7" t="str">
        <f>'Role-Level Mapping'!H1</f>
        <v>Policy &amp; Procedure Drafting For Diverse Users</v>
      </c>
      <c r="K1" s="7" t="str">
        <f>'Role-Level Mapping'!I1</f>
        <v>Technology &amp; Innovation In FCP</v>
      </c>
    </row>
    <row r="2" spans="1:13">
      <c r="A2" s="8" t="s">
        <v>197</v>
      </c>
      <c r="B2" s="30" t="s">
        <v>272</v>
      </c>
      <c r="C2" s="7" t="s">
        <v>199</v>
      </c>
      <c r="D2" s="54" t="s">
        <v>99</v>
      </c>
      <c r="E2" s="21" t="s">
        <v>99</v>
      </c>
      <c r="F2" s="21" t="s">
        <v>104</v>
      </c>
      <c r="G2" s="21" t="s">
        <v>99</v>
      </c>
      <c r="H2" s="54" t="s">
        <v>104</v>
      </c>
      <c r="I2" s="21" t="s">
        <v>104</v>
      </c>
      <c r="J2" s="21" t="s">
        <v>99</v>
      </c>
      <c r="K2" s="21" t="s">
        <v>99</v>
      </c>
      <c r="L2">
        <f>(COUNTIF(D2:K2,"E")*3+COUNTIF(D2:K2,"P")*2+COUNTIF(D2:K2,"N")*1)/COUNTA(D2:K2)</f>
        <v>2.375</v>
      </c>
    </row>
    <row r="3" spans="1:13">
      <c r="A3" s="8" t="s">
        <v>200</v>
      </c>
      <c r="B3" s="46" t="str" cm="1">
        <f t="array" aca="1" ref="B3" ca="1">MID(CELL("filename",A1),FIND("]",CELL("filename",A1))+1,255)</f>
        <v>VP, FCP</v>
      </c>
      <c r="C3" s="7" t="s">
        <v>201</v>
      </c>
      <c r="D3" s="54" t="str">
        <f>'Role-Level Mapping'!B3</f>
        <v>E</v>
      </c>
      <c r="E3" s="54" t="str">
        <f>'Role-Level Mapping'!C3</f>
        <v>E</v>
      </c>
      <c r="F3" s="54" t="str">
        <f>'Role-Level Mapping'!D3</f>
        <v>E</v>
      </c>
      <c r="G3" s="54" t="str">
        <f>'Role-Level Mapping'!E3</f>
        <v>E</v>
      </c>
      <c r="H3" s="54" t="str">
        <f>'Role-Level Mapping'!F3</f>
        <v>E</v>
      </c>
      <c r="I3" s="54" t="str">
        <f>'Role-Level Mapping'!G3</f>
        <v>E</v>
      </c>
      <c r="J3" s="54" t="str">
        <f>'Role-Level Mapping'!H3</f>
        <v>E</v>
      </c>
      <c r="K3" s="54" t="str">
        <f>'Role-Level Mapping'!I3</f>
        <v>E</v>
      </c>
    </row>
    <row r="4" spans="1:13">
      <c r="A4" s="45" t="s">
        <v>202</v>
      </c>
      <c r="B4" s="54" t="str">
        <f>IF(L2&gt;=2.5,"E",IF(L2&gt;=1.5,"P","N"))</f>
        <v>P</v>
      </c>
      <c r="C4" s="7" t="s">
        <v>203</v>
      </c>
      <c r="D4" s="9" t="str">
        <f>IF(
    MATCH(D2,{"N","P","E"},0) &gt; MATCH(D3,{"N","P","E"},0),
    "Exceeded",
    IF(
        MATCH(D2,{"N","P","E"},0) &lt; MATCH(D3,{"N","P","E"},0),
        "Developing",
        "Met"
    )
)</f>
        <v>Developing</v>
      </c>
      <c r="E4" s="9" t="str">
        <f>IF(
    MATCH(E2,{"N","P","E"},0) &gt; MATCH(E3,{"N","P","E"},0),
    "Exceeded",
    IF(
        MATCH(E2,{"N","P","E"},0) &lt; MATCH(E3,{"N","P","E"},0),
        "Developing",
        "Met"
    )
)</f>
        <v>Developing</v>
      </c>
      <c r="F4" s="9" t="str">
        <f>IF(
    MATCH(F2,{"N","P","E"},0) &gt; MATCH(F3,{"N","P","E"},0),
    "Exceeded",
    IF(
        MATCH(F2,{"N","P","E"},0) &lt; MATCH(F3,{"N","P","E"},0),
        "Developing",
        "Met"
    )
)</f>
        <v>Met</v>
      </c>
      <c r="G4" s="9" t="str">
        <f>IF(
    MATCH(G2,{"N","P","E"},0) &gt; MATCH(G3,{"N","P","E"},0),
    "Exceeded",
    IF(
        MATCH(G2,{"N","P","E"},0) &lt; MATCH(G3,{"N","P","E"},0),
        "Developing",
        "Met"
    )
)</f>
        <v>Developing</v>
      </c>
      <c r="H4" s="9" t="str">
        <f>IF(
    MATCH(H2,{"N","P","E"},0) &gt; MATCH(H3,{"N","P","E"},0),
    "Exceeded",
    IF(
        MATCH(H2,{"N","P","E"},0) &lt; MATCH(H3,{"N","P","E"},0),
        "Developing",
        "Met"
    )
)</f>
        <v>Met</v>
      </c>
      <c r="I4" s="9" t="str">
        <f>IF(
    MATCH(I2,{"N","P","E"},0) &gt; MATCH(I3,{"N","P","E"},0),
    "Exceeded",
    IF(
        MATCH(I2,{"N","P","E"},0) &lt; MATCH(I3,{"N","P","E"},0),
        "Developing",
        "Met"
    )
)</f>
        <v>Met</v>
      </c>
      <c r="J4" s="9" t="str">
        <f>IF(
    MATCH(J2,{"N","P","E"},0) &gt; MATCH(J3,{"N","P","E"},0),
    "Exceeded",
    IF(
        MATCH(J2,{"N","P","E"},0) &lt; MATCH(J3,{"N","P","E"},0),
        "Developing",
        "Met"
    )
)</f>
        <v>Developing</v>
      </c>
      <c r="K4" s="9" t="str">
        <f>IF(
    MATCH(K2,{"N","P","E"},0) &gt; MATCH(K3,{"N","P","E"},0),
    "Exceeded",
    IF(
        MATCH(K2,{"N","P","E"},0) &lt; MATCH(K3,{"N","P","E"},0),
        "Developing",
        "Met"
    )
)</f>
        <v>Developing</v>
      </c>
    </row>
    <row r="5" spans="1:13" ht="31.5">
      <c r="A5" s="8" t="s">
        <v>204</v>
      </c>
      <c r="B5" s="47">
        <f ca="1">TODAY()</f>
        <v>46259</v>
      </c>
      <c r="C5" s="7" t="s">
        <v>205</v>
      </c>
      <c r="D5" s="10" t="str" cm="1">
        <f t="array" ref="D5">_xlfn.IFS(D2="N",FCP!$H6,D2="P",FCP!$H7,D2="E",FCP!$H8)</f>
        <v>Learning Agility; Drives for Results; Builds Relationships</v>
      </c>
      <c r="E5" s="10" t="str" cm="1">
        <f t="array" ref="E5">_xlfn.IFS(E2="N",FCP!$H10,E2="P",FCP!$H11,E2="E",FCP!$H12)</f>
        <v>Makes Decisions; Learning Agility; Communicates Powerfully and Prolifically</v>
      </c>
      <c r="F5" s="10" t="str" cm="1">
        <f t="array" ref="F5">_xlfn.IFS(F2="N",FCP!$H14,F2="P",FCP!$H15,F2="E",FCP!$H16)</f>
        <v>Develops Strategic Perspective; Inspires and Motivates Others; Champions Change</v>
      </c>
      <c r="G5" s="10" t="str" cm="1">
        <f t="array" ref="G5">_xlfn.IFS(G2="N",FCP!$H18,G2="P",FCP!$H19,G2="E",FCP!$H20)</f>
        <v>Builds Relationships; Makes Decisions; Drives for Results</v>
      </c>
      <c r="H5" s="10" t="str" cm="1">
        <f t="array" ref="H5">_xlfn.IFS(H2="N",FCP!$H22,H2="P",FCP!$H23,H2="E",FCP!$H24)</f>
        <v>Champions Change; Develops Strategic Perspective; Inspires and Motivates Others</v>
      </c>
      <c r="I5" s="10" t="str" cm="1">
        <f t="array" ref="I5">_xlfn.IFS(I2="N",FCP!$H26,I2="P",FCP!$H27,I2="E",FCP!$H28)</f>
        <v>Develops Strategic Perspective; Inspires and Motivates Others; Champions Change</v>
      </c>
      <c r="J5" s="10" t="str" cm="1">
        <f t="array" ref="J5">_xlfn.IFS(J2="N",FCP!$H27,J2="P",FCP!$H28,J2="E",FCP!$H29)</f>
        <v>Develops Strategic Perspective; Inspires and Motivates Others; Champions Change</v>
      </c>
      <c r="K5" s="10" t="str" cm="1">
        <f t="array" ref="K5">_xlfn.IFS(K2="N",FCP!$H34,K2="P",FCP!$H35,K2="E",FCP!$H36)</f>
        <v>Champions Change; Makes Decisions; Learning Agility</v>
      </c>
    </row>
    <row r="6" spans="1:13" ht="31.5">
      <c r="A6" s="8"/>
      <c r="B6" s="8"/>
      <c r="C6" s="7" t="s">
        <v>206</v>
      </c>
      <c r="D6" s="10" t="str" cm="1">
        <f t="array" ref="D6">_xlfn.IFS(D3="N",FCP!$H6,D3="P",FCP!$H7,D3="E",FCP!$H8)</f>
        <v>Develops Strategic Perspective; Inspires and Motivates Others; Champions Change</v>
      </c>
      <c r="E6" s="10" t="str" cm="1">
        <f t="array" ref="E6">_xlfn.IFS(E3="N",FCP!$H10,E3="P",FCP!$H11,E3="E",FCP!$H12)</f>
        <v>Develops Strategic Perspective; Champions Change; Inspires and Motivates Others</v>
      </c>
      <c r="F6" s="10" t="str" cm="1">
        <f t="array" ref="F6">_xlfn.IFS(F3="N",FCP!$H14,F3="P",FCP!$H15,F3="E",FCP!$H16)</f>
        <v>Develops Strategic Perspective; Inspires and Motivates Others; Champions Change</v>
      </c>
      <c r="G6" s="10" t="str" cm="1">
        <f t="array" ref="G6">_xlfn.IFS(G3="N",FCP!$H18,G3="P",FCP!$H19,G3="E",FCP!$H20)</f>
        <v>Champions Change; Develops Strategic Perspective; Inspires and Motivates Others</v>
      </c>
      <c r="H6" s="10" t="str" cm="1">
        <f t="array" ref="H6">_xlfn.IFS(H3="N",FCP!$H22,H3="P",FCP!$H23,H3="E",FCP!$H24)</f>
        <v>Champions Change; Develops Strategic Perspective; Inspires and Motivates Others</v>
      </c>
      <c r="I6" s="10" t="str" cm="1">
        <f t="array" ref="I6">_xlfn.IFS(I3="N",FCP!$H26,I3="P",FCP!$H27,I3="E",FCP!$H28)</f>
        <v>Develops Strategic Perspective; Inspires and Motivates Others; Champions Change</v>
      </c>
      <c r="J6" s="10" t="str" cm="1">
        <f t="array" ref="J6">_xlfn.IFS(J3="N",FCP!$H30,J3="P",FCP!$H31,J3="E",FCP!$H32)</f>
        <v>Champions Change; Develops Strategic Perspective; Inspires and Motivates Others</v>
      </c>
      <c r="K6" s="10" t="str" cm="1">
        <f t="array" ref="K6">_xlfn.IFS(K3="N",FCP!$H34,K3="P",FCP!$H35,K3="E",FCP!$H36)</f>
        <v>Champions Change; Develops Strategic Perspective; Inspires and Motivates Others</v>
      </c>
    </row>
    <row r="7" spans="1:13" ht="31.5">
      <c r="A7" s="8"/>
      <c r="B7" s="8"/>
      <c r="C7" s="7" t="s">
        <v>207</v>
      </c>
      <c r="D7" s="31" t="s">
        <v>208</v>
      </c>
      <c r="E7" s="31" t="s">
        <v>209</v>
      </c>
      <c r="F7" s="31" t="s">
        <v>210</v>
      </c>
      <c r="G7" s="31" t="s">
        <v>211</v>
      </c>
      <c r="H7" s="31" t="s">
        <v>212</v>
      </c>
      <c r="I7" s="31" t="s">
        <v>213</v>
      </c>
      <c r="J7" s="31" t="s">
        <v>214</v>
      </c>
      <c r="K7" s="31" t="s">
        <v>215</v>
      </c>
    </row>
    <row r="10" spans="1:13">
      <c r="A10" s="57" t="s">
        <v>216</v>
      </c>
      <c r="B10" s="57"/>
      <c r="C10" s="57"/>
      <c r="D10" s="57"/>
      <c r="E10" s="57"/>
      <c r="F10" s="57"/>
      <c r="H10" s="57" t="s">
        <v>217</v>
      </c>
      <c r="I10" s="57"/>
      <c r="J10" s="57"/>
      <c r="K10" s="57"/>
      <c r="L10" s="57"/>
      <c r="M10" s="57"/>
    </row>
    <row r="11" spans="1:13" ht="98.15" customHeight="1">
      <c r="A11" s="23" t="s">
        <v>218</v>
      </c>
      <c r="B11" s="58">
        <f>COUNTIF(D4:K4,"Met")+COUNTIF(D4:K4,"Exceeded")</f>
        <v>3</v>
      </c>
      <c r="C11" s="58"/>
      <c r="D11" s="58"/>
      <c r="E11" s="58"/>
      <c r="F11" s="58"/>
      <c r="H11" s="23" t="s">
        <v>219</v>
      </c>
      <c r="I11" s="23" t="s">
        <v>220</v>
      </c>
      <c r="J11" s="65" t="s">
        <v>249</v>
      </c>
      <c r="K11" s="65"/>
      <c r="L11" s="65"/>
      <c r="M11" s="65"/>
    </row>
    <row r="12" spans="1:13" ht="112" customHeight="1">
      <c r="A12" s="23" t="s">
        <v>222</v>
      </c>
      <c r="B12" s="65" t="s">
        <v>250</v>
      </c>
      <c r="C12" s="65"/>
      <c r="D12" s="65"/>
      <c r="E12" s="65"/>
      <c r="F12" s="65"/>
      <c r="H12" s="23" t="s">
        <v>224</v>
      </c>
      <c r="I12" s="23" t="s">
        <v>225</v>
      </c>
      <c r="J12" s="65" t="s">
        <v>251</v>
      </c>
      <c r="K12" s="65"/>
      <c r="L12" s="65"/>
      <c r="M12" s="65"/>
    </row>
    <row r="13" spans="1:13" ht="121" customHeight="1">
      <c r="A13" s="23" t="s">
        <v>227</v>
      </c>
      <c r="B13" s="65" t="s">
        <v>252</v>
      </c>
      <c r="C13" s="65"/>
      <c r="D13" s="65"/>
      <c r="E13" s="65"/>
      <c r="F13" s="65"/>
      <c r="H13" s="23" t="s">
        <v>229</v>
      </c>
      <c r="I13" s="23" t="s">
        <v>230</v>
      </c>
      <c r="J13" s="65" t="s">
        <v>253</v>
      </c>
      <c r="K13" s="65"/>
      <c r="L13" s="65"/>
      <c r="M13" s="65"/>
    </row>
    <row r="14" spans="1:13" ht="140.15" customHeight="1">
      <c r="A14" s="23" t="s">
        <v>232</v>
      </c>
      <c r="B14" s="65" t="s">
        <v>254</v>
      </c>
      <c r="C14" s="65"/>
      <c r="D14" s="65"/>
      <c r="E14" s="65"/>
      <c r="F14" s="65"/>
      <c r="H14" s="22" t="s">
        <v>234</v>
      </c>
      <c r="I14" s="23" t="s">
        <v>235</v>
      </c>
      <c r="J14" s="65" t="s">
        <v>255</v>
      </c>
      <c r="K14" s="65"/>
      <c r="L14" s="65"/>
      <c r="M14" s="65"/>
    </row>
    <row r="15" spans="1:13" ht="119.15" customHeight="1">
      <c r="A15" s="23" t="s">
        <v>237</v>
      </c>
      <c r="B15" s="65" t="s">
        <v>256</v>
      </c>
      <c r="C15" s="65"/>
      <c r="D15" s="65"/>
      <c r="E15" s="65"/>
      <c r="F15" s="65"/>
      <c r="H15" s="22" t="s">
        <v>239</v>
      </c>
      <c r="I15" s="23" t="s">
        <v>240</v>
      </c>
      <c r="J15" s="65" t="s">
        <v>257</v>
      </c>
      <c r="K15" s="65"/>
      <c r="L15" s="65"/>
      <c r="M15" s="65"/>
    </row>
    <row r="16" spans="1:13" ht="82.5" customHeight="1">
      <c r="A16" s="23" t="s">
        <v>242</v>
      </c>
      <c r="B16" s="65" t="s">
        <v>258</v>
      </c>
      <c r="C16" s="65"/>
      <c r="D16" s="65"/>
      <c r="E16" s="65"/>
      <c r="F16" s="65"/>
      <c r="H16" s="22"/>
    </row>
    <row r="17" spans="1:8" ht="39" customHeight="1">
      <c r="A17" s="23" t="s">
        <v>244</v>
      </c>
      <c r="B17" s="65" t="s">
        <v>259</v>
      </c>
      <c r="C17" s="65"/>
      <c r="D17" s="65"/>
      <c r="E17" s="65"/>
      <c r="F17" s="65"/>
      <c r="H17" s="22"/>
    </row>
    <row r="18" spans="1:8" ht="43.5" customHeight="1">
      <c r="A18" s="23" t="s">
        <v>246</v>
      </c>
      <c r="B18" s="65" t="s">
        <v>260</v>
      </c>
      <c r="C18" s="65"/>
      <c r="D18" s="65"/>
      <c r="E18" s="65"/>
      <c r="F18" s="65"/>
      <c r="H18" s="22"/>
    </row>
  </sheetData>
  <mergeCells count="15">
    <mergeCell ref="J13:M13"/>
    <mergeCell ref="J14:M14"/>
    <mergeCell ref="J15:M15"/>
    <mergeCell ref="A10:F10"/>
    <mergeCell ref="H10:M10"/>
    <mergeCell ref="B11:F11"/>
    <mergeCell ref="J11:M11"/>
    <mergeCell ref="J12:M12"/>
    <mergeCell ref="B17:F17"/>
    <mergeCell ref="B18:F18"/>
    <mergeCell ref="B12:F12"/>
    <mergeCell ref="B13:F13"/>
    <mergeCell ref="B14:F14"/>
    <mergeCell ref="B15:F15"/>
    <mergeCell ref="B16:F16"/>
  </mergeCells>
  <conditionalFormatting sqref="D2:K3">
    <cfRule type="containsText" dxfId="31" priority="8" operator="containsText" text="P">
      <formula>NOT(ISERROR(SEARCH("P",D2)))</formula>
    </cfRule>
    <cfRule type="containsText" dxfId="30" priority="9" operator="containsText" text="e">
      <formula>NOT(ISERROR(SEARCH("e",D2)))</formula>
    </cfRule>
    <cfRule type="cellIs" dxfId="29" priority="10" operator="equal">
      <formula>"E"</formula>
    </cfRule>
    <cfRule type="cellIs" dxfId="28" priority="11" operator="equal">
      <formula>"N"</formula>
    </cfRule>
  </conditionalFormatting>
  <conditionalFormatting sqref="D4:K4">
    <cfRule type="containsText" dxfId="27" priority="5" operator="containsText" text="MET">
      <formula>NOT(ISERROR(SEARCH("MET",D4)))</formula>
    </cfRule>
    <cfRule type="containsText" dxfId="26" priority="6" operator="containsText" text="DEVELOPING">
      <formula>NOT(ISERROR(SEARCH("DEVELOPING",D4)))</formula>
    </cfRule>
    <cfRule type="containsText" dxfId="25" priority="7" operator="containsText" text="Exceeded">
      <formula>NOT(ISERROR(SEARCH("Exceeded",D4)))</formula>
    </cfRule>
  </conditionalFormatting>
  <conditionalFormatting sqref="B4">
    <cfRule type="containsText" dxfId="24" priority="1" operator="containsText" text="P">
      <formula>NOT(ISERROR(SEARCH("P",B4)))</formula>
    </cfRule>
    <cfRule type="containsText" dxfId="23" priority="2" operator="containsText" text="e">
      <formula>NOT(ISERROR(SEARCH("e",B4)))</formula>
    </cfRule>
    <cfRule type="cellIs" dxfId="22" priority="3" operator="equal">
      <formula>"E"</formula>
    </cfRule>
    <cfRule type="cellIs" dxfId="21" priority="4" operator="equal">
      <formula>"N"</formula>
    </cfRule>
  </conditionalFormatting>
  <dataValidations count="1">
    <dataValidation type="list" allowBlank="1" showInputMessage="1" showErrorMessage="1" sqref="B14:F14" xr:uid="{0504469B-14FB-4F82-A1A3-E913B5F0643D}">
      <formula1>"Ready now (0-6m), Ready soon (6-18m), Ready later (18-36m), Not yet in scope"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98D629-50FA-4B05-AB21-214F2C6E9BAF}">
  <sheetPr codeName="Sheet8"/>
  <dimension ref="A1:M18"/>
  <sheetViews>
    <sheetView tabSelected="1" workbookViewId="0">
      <selection activeCell="D5" sqref="D5"/>
    </sheetView>
  </sheetViews>
  <sheetFormatPr defaultRowHeight="14.5"/>
  <cols>
    <col min="1" max="1" width="32.1796875" bestFit="1" customWidth="1"/>
    <col min="2" max="2" width="19.7265625" customWidth="1"/>
    <col min="3" max="3" width="15" customWidth="1"/>
    <col min="4" max="4" width="20.1796875" customWidth="1"/>
    <col min="5" max="5" width="20" customWidth="1"/>
    <col min="6" max="6" width="20.1796875" bestFit="1" customWidth="1"/>
    <col min="7" max="7" width="20.1796875" customWidth="1"/>
    <col min="8" max="8" width="29.1796875" bestFit="1" customWidth="1"/>
    <col min="9" max="9" width="24.54296875" customWidth="1"/>
    <col min="10" max="10" width="28.1796875" customWidth="1"/>
    <col min="11" max="11" width="29.54296875" customWidth="1"/>
  </cols>
  <sheetData>
    <row r="1" spans="1:13" ht="36">
      <c r="A1" s="18" t="s">
        <v>195</v>
      </c>
      <c r="B1" s="53" t="s">
        <v>196</v>
      </c>
      <c r="D1" s="7" t="str">
        <f>'Role-Level Mapping'!B1</f>
        <v>Financial Crime Detection &amp; Prevention</v>
      </c>
      <c r="E1" s="7" t="str">
        <f>'Role-Level Mapping'!C1</f>
        <v>Research &amp; Risk Identification From Reporting</v>
      </c>
      <c r="F1" s="7" t="str">
        <f>'Role-Level Mapping'!D1</f>
        <v>Inspection, Audit &amp; Supervision Support</v>
      </c>
      <c r="G1" s="7" t="str">
        <f>'Role-Level Mapping'!E1</f>
        <v>Supporting Enforcement As A SME</v>
      </c>
      <c r="H1" s="7" t="str">
        <f>'Role-Level Mapping'!F1</f>
        <v>Outreach, Education &amp; Guidance</v>
      </c>
      <c r="I1" s="7" t="str">
        <f>'Role-Level Mapping'!G1</f>
        <v>International Co-Operation &amp; Relationship Management</v>
      </c>
      <c r="J1" s="7" t="str">
        <f>'Role-Level Mapping'!H1</f>
        <v>Policy &amp; Procedure Drafting For Diverse Users</v>
      </c>
      <c r="K1" s="7" t="str">
        <f>'Role-Level Mapping'!I1</f>
        <v>Technology &amp; Innovation In FCP</v>
      </c>
    </row>
    <row r="2" spans="1:13">
      <c r="A2" s="8" t="s">
        <v>197</v>
      </c>
      <c r="B2" s="30" t="s">
        <v>248</v>
      </c>
      <c r="C2" s="7" t="s">
        <v>199</v>
      </c>
      <c r="D2" s="54" t="s">
        <v>104</v>
      </c>
      <c r="E2" s="21" t="s">
        <v>99</v>
      </c>
      <c r="F2" s="21" t="s">
        <v>99</v>
      </c>
      <c r="G2" s="21" t="s">
        <v>99</v>
      </c>
      <c r="H2" s="54" t="s">
        <v>99</v>
      </c>
      <c r="I2" s="21" t="s">
        <v>104</v>
      </c>
      <c r="J2" s="21" t="s">
        <v>99</v>
      </c>
      <c r="K2" s="21" t="s">
        <v>99</v>
      </c>
      <c r="L2">
        <f>(COUNTIF(D2:K2,"E")*3+COUNTIF(D2:K2,"P")*2+COUNTIF(D2:K2,"N")*1)/COUNTA(D2:K2)</f>
        <v>2.25</v>
      </c>
    </row>
    <row r="3" spans="1:13">
      <c r="A3" s="8" t="s">
        <v>200</v>
      </c>
      <c r="B3" s="46" t="str" cm="1">
        <f t="array" aca="1" ref="B3" ca="1">MID(CELL("filename",A1),FIND("]",CELL("filename",A1))+1,255)</f>
        <v>AVP, Manager of FCP</v>
      </c>
      <c r="C3" s="7" t="s">
        <v>201</v>
      </c>
      <c r="D3" s="54" t="str">
        <f>'Role-Level Mapping'!B4</f>
        <v>P</v>
      </c>
      <c r="E3" s="54" t="str">
        <f>'Role-Level Mapping'!C4</f>
        <v>P</v>
      </c>
      <c r="F3" s="54" t="str">
        <f>'Role-Level Mapping'!D4</f>
        <v>P</v>
      </c>
      <c r="G3" s="54" t="str">
        <f>'Role-Level Mapping'!E4</f>
        <v>P</v>
      </c>
      <c r="H3" s="54" t="str">
        <f>'Role-Level Mapping'!F4</f>
        <v>P</v>
      </c>
      <c r="I3" s="54" t="str">
        <f>'Role-Level Mapping'!G4</f>
        <v>P</v>
      </c>
      <c r="J3" s="54" t="str">
        <f>'Role-Level Mapping'!H4</f>
        <v>P</v>
      </c>
      <c r="K3" s="54" t="str">
        <f>'Role-Level Mapping'!I4</f>
        <v>P</v>
      </c>
    </row>
    <row r="4" spans="1:13">
      <c r="A4" s="45" t="s">
        <v>202</v>
      </c>
      <c r="B4" s="54" t="str">
        <f>IF(L2&gt;=2.5,"E",IF(L2&gt;=1.5,"P","N"))</f>
        <v>P</v>
      </c>
      <c r="C4" s="7" t="s">
        <v>203</v>
      </c>
      <c r="D4" s="9" t="str">
        <f>IF(
    MATCH(D2,{"N","P","E"},0) &gt; MATCH(D3,{"N","P","E"},0),
    "Exceeded",
    IF(
        MATCH(D2,{"N","P","E"},0) &lt; MATCH(D3,{"N","P","E"},0),
        "Developing",
        "Met"
    )
)</f>
        <v>Exceeded</v>
      </c>
      <c r="E4" s="9" t="str">
        <f>IF(
    MATCH(E2,{"N","P","E"},0) &gt; MATCH(E3,{"N","P","E"},0),
    "Exceeded",
    IF(
        MATCH(E2,{"N","P","E"},0) &lt; MATCH(E3,{"N","P","E"},0),
        "Developing",
        "Met"
    )
)</f>
        <v>Met</v>
      </c>
      <c r="F4" s="9" t="str">
        <f>IF(
    MATCH(F2,{"N","P","E"},0) &gt; MATCH(F3,{"N","P","E"},0),
    "Exceeded",
    IF(
        MATCH(F2,{"N","P","E"},0) &lt; MATCH(F3,{"N","P","E"},0),
        "Developing",
        "Met"
    )
)</f>
        <v>Met</v>
      </c>
      <c r="G4" s="9" t="str">
        <f>IF(
    MATCH(G2,{"N","P","E"},0) &gt; MATCH(G3,{"N","P","E"},0),
    "Exceeded",
    IF(
        MATCH(G2,{"N","P","E"},0) &lt; MATCH(G3,{"N","P","E"},0),
        "Developing",
        "Met"
    )
)</f>
        <v>Met</v>
      </c>
      <c r="H4" s="9" t="str">
        <f>IF(
    MATCH(H2,{"N","P","E"},0) &gt; MATCH(H3,{"N","P","E"},0),
    "Exceeded",
    IF(
        MATCH(H2,{"N","P","E"},0) &lt; MATCH(H3,{"N","P","E"},0),
        "Developing",
        "Met"
    )
)</f>
        <v>Met</v>
      </c>
      <c r="I4" s="9" t="str">
        <f>IF(
    MATCH(I2,{"N","P","E"},0) &gt; MATCH(I3,{"N","P","E"},0),
    "Exceeded",
    IF(
        MATCH(I2,{"N","P","E"},0) &lt; MATCH(I3,{"N","P","E"},0),
        "Developing",
        "Met"
    )
)</f>
        <v>Exceeded</v>
      </c>
      <c r="J4" s="9" t="str">
        <f>IF(
    MATCH(J2,{"N","P","E"},0) &gt; MATCH(J3,{"N","P","E"},0),
    "Exceeded",
    IF(
        MATCH(J2,{"N","P","E"},0) &lt; MATCH(J3,{"N","P","E"},0),
        "Developing",
        "Met"
    )
)</f>
        <v>Met</v>
      </c>
      <c r="K4" s="9" t="str">
        <f>IF(
    MATCH(K2,{"N","P","E"},0) &gt; MATCH(K3,{"N","P","E"},0),
    "Exceeded",
    IF(
        MATCH(K2,{"N","P","E"},0) &lt; MATCH(K3,{"N","P","E"},0),
        "Developing",
        "Met"
    )
)</f>
        <v>Met</v>
      </c>
    </row>
    <row r="5" spans="1:13" ht="31.5">
      <c r="A5" s="8" t="s">
        <v>204</v>
      </c>
      <c r="B5" s="47">
        <f ca="1">TODAY()</f>
        <v>46259</v>
      </c>
      <c r="C5" s="7" t="s">
        <v>205</v>
      </c>
      <c r="D5" s="10" t="str" cm="1">
        <f t="array" ref="D5">_xlfn.IFS(D2="N",FCP!$H6,D2="P",FCP!$H7,D2="E",FCP!$H8)</f>
        <v>Develops Strategic Perspective; Inspires and Motivates Others; Champions Change</v>
      </c>
      <c r="E5" s="10" t="str" cm="1">
        <f t="array" ref="E5">_xlfn.IFS(E2="N",FCP!$H10,E2="P",FCP!$H11,E2="E",FCP!$H12)</f>
        <v>Makes Decisions; Learning Agility; Communicates Powerfully and Prolifically</v>
      </c>
      <c r="F5" s="10" t="str" cm="1">
        <f t="array" ref="F5">_xlfn.IFS(F2="N",FCP!$H14,F2="P",FCP!$H15,F2="E",FCP!$H16)</f>
        <v>Makes Decisions; Builds Relationships; Drives for Results</v>
      </c>
      <c r="G5" s="10" t="str" cm="1">
        <f t="array" ref="G5">_xlfn.IFS(G2="N",FCP!$H18,G2="P",FCP!$H19,G2="E",FCP!$H20)</f>
        <v>Builds Relationships; Makes Decisions; Drives for Results</v>
      </c>
      <c r="H5" s="10" t="str" cm="1">
        <f t="array" ref="H5">_xlfn.IFS(H2="N",FCP!$H22,H2="P",FCP!$H23,H2="E",FCP!$H24)</f>
        <v>Inspires and Motivates Others; Develops Others; Makes Decisions</v>
      </c>
      <c r="I5" s="10" t="str" cm="1">
        <f t="array" ref="I5">_xlfn.IFS(I2="N",FCP!$H26,I2="P",FCP!$H27,I2="E",FCP!$H28)</f>
        <v>Develops Strategic Perspective; Inspires and Motivates Others; Champions Change</v>
      </c>
      <c r="J5" s="10" t="str" cm="1">
        <f t="array" ref="J5">_xlfn.IFS(J2="N",FCP!$H27,J2="P",FCP!$H28,J2="E",FCP!$H29)</f>
        <v>Develops Strategic Perspective; Inspires and Motivates Others; Champions Change</v>
      </c>
      <c r="K5" s="10" t="str" cm="1">
        <f t="array" ref="K5">_xlfn.IFS(K2="N",FCP!$H34,K2="P",FCP!$H35,K2="E",FCP!$H36)</f>
        <v>Champions Change; Makes Decisions; Learning Agility</v>
      </c>
    </row>
    <row r="6" spans="1:13" ht="31.5">
      <c r="A6" s="8"/>
      <c r="B6" s="8"/>
      <c r="C6" s="7" t="s">
        <v>206</v>
      </c>
      <c r="D6" s="10" t="str" cm="1">
        <f t="array" ref="D6">_xlfn.IFS(D3="N",FCP!$H6,D3="P",FCP!$H7,D3="E",FCP!$H8)</f>
        <v>Learning Agility; Drives for Results; Builds Relationships</v>
      </c>
      <c r="E6" s="10" t="str" cm="1">
        <f t="array" ref="E6">_xlfn.IFS(E3="N",FCP!$H10,E3="P",FCP!$H11,E3="E",FCP!$H12)</f>
        <v>Makes Decisions; Learning Agility; Communicates Powerfully and Prolifically</v>
      </c>
      <c r="F6" s="10" t="str" cm="1">
        <f t="array" ref="F6">_xlfn.IFS(F3="N",FCP!$H14,F3="P",FCP!$H15,F3="E",FCP!$H16)</f>
        <v>Makes Decisions; Builds Relationships; Drives for Results</v>
      </c>
      <c r="G6" s="10" t="str" cm="1">
        <f t="array" ref="G6">_xlfn.IFS(G3="N",FCP!$H18,G3="P",FCP!$H19,G3="E",FCP!$H20)</f>
        <v>Builds Relationships; Makes Decisions; Drives for Results</v>
      </c>
      <c r="H6" s="10" t="str" cm="1">
        <f t="array" ref="H6">_xlfn.IFS(H3="N",FCP!$H22,H3="P",FCP!$H23,H3="E",FCP!$H24)</f>
        <v>Inspires and Motivates Others; Develops Others; Makes Decisions</v>
      </c>
      <c r="I6" s="10" t="str" cm="1">
        <f t="array" ref="I6">_xlfn.IFS(I3="N",FCP!$H26,I3="P",FCP!$H27,I3="E",FCP!$H28)</f>
        <v>Builds Relationships; Collaboration and Teamwork; Makes Decisions</v>
      </c>
      <c r="J6" s="10" t="str" cm="1">
        <f t="array" ref="J6">_xlfn.IFS(J3="N",FCP!$H30,J3="P",FCP!$H31,J3="E",FCP!$H32)</f>
        <v>Communicates Powerfully and Prolifically; Builds Relationships; Champions Change</v>
      </c>
      <c r="K6" s="10" t="str" cm="1">
        <f t="array" ref="K6">_xlfn.IFS(K3="N",FCP!$H34,K3="P",FCP!$H35,K3="E",FCP!$H36)</f>
        <v>Champions Change; Makes Decisions; Learning Agility</v>
      </c>
    </row>
    <row r="7" spans="1:13" ht="31.5">
      <c r="A7" s="8"/>
      <c r="B7" s="8"/>
      <c r="C7" s="7" t="s">
        <v>207</v>
      </c>
      <c r="D7" s="31" t="s">
        <v>208</v>
      </c>
      <c r="E7" s="31" t="s">
        <v>209</v>
      </c>
      <c r="F7" s="31" t="s">
        <v>210</v>
      </c>
      <c r="G7" s="31" t="s">
        <v>211</v>
      </c>
      <c r="H7" s="31" t="s">
        <v>212</v>
      </c>
      <c r="I7" s="31" t="s">
        <v>213</v>
      </c>
      <c r="J7" s="31" t="s">
        <v>214</v>
      </c>
      <c r="K7" s="31" t="s">
        <v>215</v>
      </c>
    </row>
    <row r="10" spans="1:13">
      <c r="A10" s="57" t="s">
        <v>216</v>
      </c>
      <c r="B10" s="57"/>
      <c r="C10" s="57"/>
      <c r="D10" s="57"/>
      <c r="E10" s="57"/>
      <c r="F10" s="57"/>
      <c r="H10" s="57" t="s">
        <v>217</v>
      </c>
      <c r="I10" s="57"/>
      <c r="J10" s="57"/>
      <c r="K10" s="57"/>
      <c r="L10" s="57"/>
      <c r="M10" s="57"/>
    </row>
    <row r="11" spans="1:13" ht="98.15" customHeight="1">
      <c r="A11" s="23" t="s">
        <v>218</v>
      </c>
      <c r="B11" s="58">
        <f>COUNTIF(D4:K4,"Met")+COUNTIF(D4:K4,"Exceeded")</f>
        <v>8</v>
      </c>
      <c r="C11" s="58"/>
      <c r="D11" s="58"/>
      <c r="E11" s="58"/>
      <c r="F11" s="58"/>
      <c r="H11" s="23" t="s">
        <v>219</v>
      </c>
      <c r="I11" s="23" t="s">
        <v>220</v>
      </c>
      <c r="J11" s="65" t="s">
        <v>249</v>
      </c>
      <c r="K11" s="65"/>
      <c r="L11" s="65"/>
      <c r="M11" s="65"/>
    </row>
    <row r="12" spans="1:13" ht="112" customHeight="1">
      <c r="A12" s="23" t="s">
        <v>222</v>
      </c>
      <c r="B12" s="65" t="s">
        <v>250</v>
      </c>
      <c r="C12" s="65"/>
      <c r="D12" s="65"/>
      <c r="E12" s="65"/>
      <c r="F12" s="65"/>
      <c r="H12" s="23" t="s">
        <v>224</v>
      </c>
      <c r="I12" s="23" t="s">
        <v>225</v>
      </c>
      <c r="J12" s="65" t="s">
        <v>251</v>
      </c>
      <c r="K12" s="65"/>
      <c r="L12" s="65"/>
      <c r="M12" s="65"/>
    </row>
    <row r="13" spans="1:13" ht="121" customHeight="1">
      <c r="A13" s="23" t="s">
        <v>227</v>
      </c>
      <c r="B13" s="65" t="s">
        <v>252</v>
      </c>
      <c r="C13" s="65"/>
      <c r="D13" s="65"/>
      <c r="E13" s="65"/>
      <c r="F13" s="65"/>
      <c r="H13" s="23" t="s">
        <v>229</v>
      </c>
      <c r="I13" s="23" t="s">
        <v>230</v>
      </c>
      <c r="J13" s="65" t="s">
        <v>253</v>
      </c>
      <c r="K13" s="65"/>
      <c r="L13" s="65"/>
      <c r="M13" s="65"/>
    </row>
    <row r="14" spans="1:13" ht="140.15" customHeight="1">
      <c r="A14" s="23" t="s">
        <v>232</v>
      </c>
      <c r="B14" s="65" t="s">
        <v>254</v>
      </c>
      <c r="C14" s="65"/>
      <c r="D14" s="65"/>
      <c r="E14" s="65"/>
      <c r="F14" s="65"/>
      <c r="H14" s="22" t="s">
        <v>234</v>
      </c>
      <c r="I14" s="23" t="s">
        <v>235</v>
      </c>
      <c r="J14" s="65" t="s">
        <v>255</v>
      </c>
      <c r="K14" s="65"/>
      <c r="L14" s="65"/>
      <c r="M14" s="65"/>
    </row>
    <row r="15" spans="1:13" ht="119.15" customHeight="1">
      <c r="A15" s="23" t="s">
        <v>237</v>
      </c>
      <c r="B15" s="65" t="s">
        <v>256</v>
      </c>
      <c r="C15" s="65"/>
      <c r="D15" s="65"/>
      <c r="E15" s="65"/>
      <c r="F15" s="65"/>
      <c r="H15" s="22" t="s">
        <v>239</v>
      </c>
      <c r="I15" s="23" t="s">
        <v>240</v>
      </c>
      <c r="J15" s="65" t="s">
        <v>257</v>
      </c>
      <c r="K15" s="65"/>
      <c r="L15" s="65"/>
      <c r="M15" s="65"/>
    </row>
    <row r="16" spans="1:13" ht="82.5" customHeight="1">
      <c r="A16" s="23" t="s">
        <v>242</v>
      </c>
      <c r="B16" s="65" t="s">
        <v>258</v>
      </c>
      <c r="C16" s="65"/>
      <c r="D16" s="65"/>
      <c r="E16" s="65"/>
      <c r="F16" s="65"/>
      <c r="H16" s="22"/>
    </row>
    <row r="17" spans="1:8" ht="39" customHeight="1">
      <c r="A17" s="23" t="s">
        <v>244</v>
      </c>
      <c r="B17" s="65" t="s">
        <v>259</v>
      </c>
      <c r="C17" s="65"/>
      <c r="D17" s="65"/>
      <c r="E17" s="65"/>
      <c r="F17" s="65"/>
      <c r="H17" s="22"/>
    </row>
    <row r="18" spans="1:8" ht="43.5" customHeight="1">
      <c r="A18" s="23" t="s">
        <v>246</v>
      </c>
      <c r="B18" s="65" t="s">
        <v>260</v>
      </c>
      <c r="C18" s="65"/>
      <c r="D18" s="65"/>
      <c r="E18" s="65"/>
      <c r="F18" s="65"/>
      <c r="H18" s="22"/>
    </row>
  </sheetData>
  <mergeCells count="15">
    <mergeCell ref="A10:F10"/>
    <mergeCell ref="H10:M10"/>
    <mergeCell ref="B11:F11"/>
    <mergeCell ref="J11:M11"/>
    <mergeCell ref="J12:M12"/>
    <mergeCell ref="B12:F12"/>
    <mergeCell ref="B16:F16"/>
    <mergeCell ref="B17:F17"/>
    <mergeCell ref="B18:F18"/>
    <mergeCell ref="J13:M13"/>
    <mergeCell ref="J14:M14"/>
    <mergeCell ref="J15:M15"/>
    <mergeCell ref="B13:F13"/>
    <mergeCell ref="B14:F14"/>
    <mergeCell ref="B15:F15"/>
  </mergeCells>
  <conditionalFormatting sqref="D2:K3">
    <cfRule type="containsText" dxfId="20" priority="8" operator="containsText" text="P">
      <formula>NOT(ISERROR(SEARCH("P",D2)))</formula>
    </cfRule>
    <cfRule type="containsText" dxfId="19" priority="9" operator="containsText" text="e">
      <formula>NOT(ISERROR(SEARCH("e",D2)))</formula>
    </cfRule>
    <cfRule type="cellIs" dxfId="18" priority="10" operator="equal">
      <formula>"E"</formula>
    </cfRule>
    <cfRule type="cellIs" dxfId="17" priority="11" operator="equal">
      <formula>"N"</formula>
    </cfRule>
  </conditionalFormatting>
  <conditionalFormatting sqref="D4:K4">
    <cfRule type="containsText" dxfId="16" priority="5" operator="containsText" text="MET">
      <formula>NOT(ISERROR(SEARCH("MET",D4)))</formula>
    </cfRule>
    <cfRule type="containsText" dxfId="15" priority="6" operator="containsText" text="DEVELOPING">
      <formula>NOT(ISERROR(SEARCH("DEVELOPING",D4)))</formula>
    </cfRule>
    <cfRule type="containsText" dxfId="14" priority="7" operator="containsText" text="Exceeded">
      <formula>NOT(ISERROR(SEARCH("Exceeded",D4)))</formula>
    </cfRule>
  </conditionalFormatting>
  <conditionalFormatting sqref="B4">
    <cfRule type="containsText" dxfId="13" priority="1" operator="containsText" text="P">
      <formula>NOT(ISERROR(SEARCH("P",B4)))</formula>
    </cfRule>
    <cfRule type="containsText" dxfId="12" priority="2" operator="containsText" text="e">
      <formula>NOT(ISERROR(SEARCH("e",B4)))</formula>
    </cfRule>
    <cfRule type="cellIs" dxfId="11" priority="3" operator="equal">
      <formula>"E"</formula>
    </cfRule>
    <cfRule type="cellIs" dxfId="10" priority="4" operator="equal">
      <formula>"N"</formula>
    </cfRule>
  </conditionalFormatting>
  <dataValidations count="1">
    <dataValidation type="list" allowBlank="1" showInputMessage="1" showErrorMessage="1" sqref="B14:F14" xr:uid="{9195B8B0-7E69-4163-BE66-F79D28CBECC8}">
      <formula1>"Ready now (0-6m), Ready soon (6-18m), Ready later (18-36m), Not yet in scope"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I4"/>
  <sheetViews>
    <sheetView workbookViewId="0">
      <selection activeCell="D14" sqref="D14"/>
    </sheetView>
  </sheetViews>
  <sheetFormatPr defaultRowHeight="14.5"/>
  <cols>
    <col min="1" max="1" width="18.81640625" bestFit="1" customWidth="1"/>
    <col min="2" max="9" width="18" customWidth="1"/>
  </cols>
  <sheetData>
    <row r="1" spans="1:9" s="17" customFormat="1" ht="40" customHeight="1">
      <c r="A1" s="7" t="s">
        <v>261</v>
      </c>
      <c r="B1" s="7" t="s">
        <v>262</v>
      </c>
      <c r="C1" s="7" t="s">
        <v>263</v>
      </c>
      <c r="D1" s="7" t="s">
        <v>264</v>
      </c>
      <c r="E1" s="7" t="s">
        <v>265</v>
      </c>
      <c r="F1" s="7" t="s">
        <v>266</v>
      </c>
      <c r="G1" s="7" t="s">
        <v>267</v>
      </c>
      <c r="H1" s="7" t="s">
        <v>268</v>
      </c>
      <c r="I1" s="7" t="s">
        <v>269</v>
      </c>
    </row>
    <row r="2" spans="1:9" ht="25" customHeight="1">
      <c r="A2" s="55" t="s">
        <v>83</v>
      </c>
      <c r="B2" s="48" t="s">
        <v>104</v>
      </c>
      <c r="C2" s="48" t="s">
        <v>104</v>
      </c>
      <c r="D2" s="48" t="s">
        <v>104</v>
      </c>
      <c r="E2" s="48" t="s">
        <v>104</v>
      </c>
      <c r="F2" s="48" t="s">
        <v>104</v>
      </c>
      <c r="G2" s="48" t="s">
        <v>104</v>
      </c>
      <c r="H2" s="48" t="s">
        <v>104</v>
      </c>
      <c r="I2" s="48" t="s">
        <v>104</v>
      </c>
    </row>
    <row r="3" spans="1:9" ht="25" customHeight="1">
      <c r="A3" s="55" t="s">
        <v>270</v>
      </c>
      <c r="B3" s="48" t="s">
        <v>104</v>
      </c>
      <c r="C3" s="48" t="s">
        <v>104</v>
      </c>
      <c r="D3" s="48" t="s">
        <v>104</v>
      </c>
      <c r="E3" s="48" t="s">
        <v>104</v>
      </c>
      <c r="F3" s="48" t="s">
        <v>104</v>
      </c>
      <c r="G3" s="48" t="s">
        <v>104</v>
      </c>
      <c r="H3" s="48" t="s">
        <v>104</v>
      </c>
      <c r="I3" s="48" t="s">
        <v>104</v>
      </c>
    </row>
    <row r="4" spans="1:9" ht="25" customHeight="1">
      <c r="A4" s="55" t="s">
        <v>271</v>
      </c>
      <c r="B4" s="48" t="s">
        <v>99</v>
      </c>
      <c r="C4" s="48" t="s">
        <v>99</v>
      </c>
      <c r="D4" s="48" t="s">
        <v>99</v>
      </c>
      <c r="E4" s="48" t="s">
        <v>99</v>
      </c>
      <c r="F4" s="48" t="s">
        <v>99</v>
      </c>
      <c r="G4" s="48" t="s">
        <v>99</v>
      </c>
      <c r="H4" s="48" t="s">
        <v>99</v>
      </c>
      <c r="I4" s="48" t="s">
        <v>99</v>
      </c>
    </row>
  </sheetData>
  <conditionalFormatting sqref="B2:I4">
    <cfRule type="containsText" dxfId="9" priority="1" operator="containsText" text="N/P">
      <formula>NOT(ISERROR(SEARCH("N/P",B2)))</formula>
    </cfRule>
    <cfRule type="containsText" dxfId="8" priority="3" operator="containsText" text="N/P">
      <formula>NOT(ISERROR(SEARCH("N/P",B2)))</formula>
    </cfRule>
    <cfRule type="containsText" dxfId="7" priority="4" operator="containsText" text="p/E">
      <formula>NOT(ISERROR(SEARCH("p/E",B2)))</formula>
    </cfRule>
    <cfRule type="containsText" dxfId="6" priority="5" operator="containsText" text="E">
      <formula>NOT(ISERROR(SEARCH("E",B2)))</formula>
    </cfRule>
    <cfRule type="containsText" dxfId="5" priority="6" operator="containsText" text="E">
      <formula>NOT(ISERROR(SEARCH("E",B2)))</formula>
    </cfRule>
    <cfRule type="containsText" dxfId="4" priority="7" operator="containsText" text="N/P">
      <formula>NOT(ISERROR(SEARCH("N/P",B2)))</formula>
    </cfRule>
    <cfRule type="containsText" dxfId="3" priority="8" operator="containsText" text="P/E">
      <formula>NOT(ISERROR(SEARCH("P/E",B2)))</formula>
    </cfRule>
    <cfRule type="cellIs" dxfId="2" priority="9" stopIfTrue="1" operator="equal">
      <formula>"P"</formula>
    </cfRule>
    <cfRule type="cellIs" dxfId="1" priority="10" stopIfTrue="1" operator="equal">
      <formula>"E"</formula>
    </cfRule>
    <cfRule type="cellIs" dxfId="0" priority="11" stopIfTrue="1" operator="equal">
      <formula>"N"</formula>
    </cfRule>
  </conditionalFormatting>
  <pageMargins left="0.75" right="0.75" top="1" bottom="1" header="0.5" footer="0.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452796B8A53F6641878AC3EC6F75D4DA" ma:contentTypeVersion="15" ma:contentTypeDescription="Create a new document." ma:contentTypeScope="" ma:versionID="60fa671f2f51757adb666a685930ef48">
  <xsd:schema xmlns:xsd="http://www.w3.org/2001/XMLSchema" xmlns:xs="http://www.w3.org/2001/XMLSchema" xmlns:p="http://schemas.microsoft.com/office/2006/metadata/properties" xmlns:ns2="a05939fa-4987-4b50-a504-0432dfcf7eeb" xmlns:ns3="d9df05d8-c503-4416-8539-b29d2780af1e" targetNamespace="http://schemas.microsoft.com/office/2006/metadata/properties" ma:root="true" ma:fieldsID="24d9487348bda5524d026228efb8f465" ns2:_="" ns3:_="">
    <xsd:import namespace="a05939fa-4987-4b50-a504-0432dfcf7eeb"/>
    <xsd:import namespace="d9df05d8-c503-4416-8539-b29d2780af1e"/>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element ref="ns2:lcf76f155ced4ddcb4097134ff3c332f" minOccurs="0"/>
                <xsd:element ref="ns3:TaxCatchAll" minOccurs="0"/>
                <xsd:element ref="ns2:MediaServiceGenerationTime" minOccurs="0"/>
                <xsd:element ref="ns2:MediaServiceEventHashCode" minOccurs="0"/>
                <xsd:element ref="ns2:MediaServiceOCR" minOccurs="0"/>
                <xsd:element ref="ns2:MediaServiceDateTaken" minOccurs="0"/>
                <xsd:element ref="ns2:MediaServiceSearchProperties" minOccurs="0"/>
                <xsd:element ref="ns2:MediaServiceLoca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5939fa-4987-4b50-a504-0432dfcf7ee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lcf76f155ced4ddcb4097134ff3c332f" ma:index="14" nillable="true" ma:taxonomy="true" ma:internalName="lcf76f155ced4ddcb4097134ff3c332f" ma:taxonomyFieldName="MediaServiceImageTags" ma:displayName="Image Tags" ma:readOnly="false" ma:fieldId="{5cf76f15-5ced-4ddc-b409-7134ff3c332f}" ma:taxonomyMulti="true" ma:sspId="9a6a45bb-c876-4764-9e96-e71b44532002" ma:termSetId="09814cd3-568e-fe90-9814-8d621ff8fb84" ma:anchorId="fba54fb3-c3e1-fe81-a776-ca4b69148c4d" ma:open="true" ma:isKeyword="false">
      <xsd:complexType>
        <xsd:sequence>
          <xsd:element ref="pc:Terms" minOccurs="0" maxOccurs="1"/>
        </xsd:sequence>
      </xsd:complex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Location" ma:index="21" nillable="true" ma:displayName="Location" ma:indexed="true" ma:internalName="MediaServiceLocation" ma:readOnly="true">
      <xsd:simpleType>
        <xsd:restriction base="dms:Text"/>
      </xsd:simpleType>
    </xsd:element>
    <xsd:element name="MediaLengthInSeconds" ma:index="22"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d9df05d8-c503-4416-8539-b29d2780af1e"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element name="TaxCatchAll" ma:index="15" nillable="true" ma:displayName="Taxonomy Catch All Column" ma:hidden="true" ma:list="{b26ad3a4-fffe-424b-b4a5-c8ed1973adf7}" ma:internalName="TaxCatchAll" ma:showField="CatchAllData" ma:web="d9df05d8-c503-4416-8539-b29d2780af1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05939fa-4987-4b50-a504-0432dfcf7eeb">
      <Terms xmlns="http://schemas.microsoft.com/office/infopath/2007/PartnerControls"/>
    </lcf76f155ced4ddcb4097134ff3c332f>
    <TaxCatchAll xmlns="d9df05d8-c503-4416-8539-b29d2780af1e" xsi:nil="true"/>
    <SharedWithUsers xmlns="d9df05d8-c503-4416-8539-b29d2780af1e">
      <UserInfo>
        <DisplayName/>
        <AccountId xsi:nil="true"/>
        <AccountType/>
      </UserInfo>
    </SharedWithUsers>
  </documentManagement>
</p:properties>
</file>

<file path=customXml/itemProps1.xml><?xml version="1.0" encoding="utf-8"?>
<ds:datastoreItem xmlns:ds="http://schemas.openxmlformats.org/officeDocument/2006/customXml" ds:itemID="{2E08BE39-7C23-48B7-A301-8C1885D691A0}">
  <ds:schemaRefs>
    <ds:schemaRef ds:uri="http://schemas.microsoft.com/sharepoint/v3/contenttype/forms"/>
  </ds:schemaRefs>
</ds:datastoreItem>
</file>

<file path=customXml/itemProps2.xml><?xml version="1.0" encoding="utf-8"?>
<ds:datastoreItem xmlns:ds="http://schemas.openxmlformats.org/officeDocument/2006/customXml" ds:itemID="{EF7CF3A1-B0C8-4D37-8343-1722CC7F6CE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5939fa-4987-4b50-a504-0432dfcf7eeb"/>
    <ds:schemaRef ds:uri="d9df05d8-c503-4416-8539-b29d2780af1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446637F5-54BC-46DE-8FC8-59E772E1AD37}">
  <ds:schemaRefs>
    <ds:schemaRef ds:uri="http://schemas.microsoft.com/office/2006/metadata/properties"/>
    <ds:schemaRef ds:uri="http://schemas.microsoft.com/office/infopath/2007/PartnerControls"/>
    <ds:schemaRef ds:uri="a05939fa-4987-4b50-a504-0432dfcf7eeb"/>
    <ds:schemaRef ds:uri="d9df05d8-c503-4416-8539-b29d2780af1e"/>
  </ds:schemaRefs>
</ds:datastoreItem>
</file>

<file path=docMetadata/LabelInfo.xml><?xml version="1.0" encoding="utf-8"?>
<clbl:labelList xmlns:clbl="http://schemas.microsoft.com/office/2020/mipLabelMetadata">
  <clbl:label id="{6d6c13a7-fdf0-4357-8e11-fa6eb4a0c16b}" enabled="1" method="Standard" siteId="{35fb486a-772c-4c52-a162-d8a97d3f5c16}"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INSTRUCTIONS</vt:lpstr>
      <vt:lpstr>FCP</vt:lpstr>
      <vt:lpstr>Head of FCP</vt:lpstr>
      <vt:lpstr>VP, FCP</vt:lpstr>
      <vt:lpstr>AVP, Manager of FCP</vt:lpstr>
      <vt:lpstr>Role-Level Mapping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Linda LaBrooy</dc:creator>
  <cp:keywords/>
  <dc:description/>
  <cp:lastModifiedBy>James Parsons</cp:lastModifiedBy>
  <cp:revision/>
  <dcterms:created xsi:type="dcterms:W3CDTF">2022-10-27T10:17:38Z</dcterms:created>
  <dcterms:modified xsi:type="dcterms:W3CDTF">2026-08-25T12:56:32Z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0x010100452796B8A53F6641878AC3EC6F75D4DA</vt:lpwstr>
  </property>
  <property fmtid="{D5CDD505-2E9C-101B-9397-08002B2CF9AE}" pid="3" name="MediaServiceImageTags">
    <vt:lpwstr/>
  </property>
  <property fmtid="{D5CDD505-2E9C-101B-9397-08002B2CF9AE}" pid="4" name="Order">
    <vt:r8>1833800</vt:r8>
  </property>
  <property fmtid="{D5CDD505-2E9C-101B-9397-08002B2CF9AE}" pid="5" name="xd_Signature">
    <vt:bool>false</vt:bool>
  </property>
  <property fmtid="{D5CDD505-2E9C-101B-9397-08002B2CF9AE}" pid="6" name="xd_ProgID">
    <vt:lpwstr/>
  </property>
  <property fmtid="{D5CDD505-2E9C-101B-9397-08002B2CF9AE}" pid="7" name="ComplianceAssetId">
    <vt:lpwstr/>
  </property>
  <property fmtid="{D5CDD505-2E9C-101B-9397-08002B2CF9AE}" pid="8" name="TemplateUrl">
    <vt:lpwstr/>
  </property>
  <property fmtid="{D5CDD505-2E9C-101B-9397-08002B2CF9AE}" pid="9" name="_ExtendedDescription">
    <vt:lpwstr/>
  </property>
  <property fmtid="{D5CDD505-2E9C-101B-9397-08002B2CF9AE}" pid="10" name="TriggerFlowInfo">
    <vt:lpwstr/>
  </property>
</Properties>
</file>