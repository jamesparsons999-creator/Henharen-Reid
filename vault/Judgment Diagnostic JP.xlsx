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DDE28411-A823-4575-8271-D0F2FA29D8F5}" xr6:coauthVersionLast="47" xr6:coauthVersionMax="47" xr10:uidLastSave="{00000000-0000-0000-0000-000000000000}"/>
  <bookViews>
    <workbookView xWindow="-110" yWindow="-110" windowWidth="19420" windowHeight="10300" xr2:uid="{00000000-000D-0000-FFFF-FFFF00000000}"/>
  </bookViews>
  <sheets>
    <sheet name="Assessment" sheetId="1" r:id="rId1"/>
    <sheet name="Scoring_Matrix" sheetId="2" r:id="rId2"/>
    <sheet name="Results_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3" l="1"/>
  <c r="D17" i="3"/>
  <c r="C17" i="3"/>
  <c r="E16" i="3"/>
  <c r="D16" i="3"/>
  <c r="C16" i="3"/>
  <c r="E15" i="3"/>
  <c r="D15" i="3"/>
  <c r="C15" i="3"/>
  <c r="E14" i="3"/>
  <c r="D14" i="3"/>
  <c r="C14" i="3"/>
  <c r="E13" i="3"/>
  <c r="D13" i="3"/>
  <c r="C13" i="3"/>
  <c r="E12" i="3"/>
  <c r="D12" i="3"/>
  <c r="C12" i="3"/>
  <c r="B8" i="3"/>
  <c r="B7" i="3"/>
  <c r="B6" i="3"/>
  <c r="B5" i="3"/>
</calcChain>
</file>

<file path=xl/sharedStrings.xml><?xml version="1.0" encoding="utf-8"?>
<sst xmlns="http://schemas.openxmlformats.org/spreadsheetml/2006/main" count="179" uniqueCount="135">
  <si>
    <t>HENHAREN REID — EXECUTIVE SITUATIONAL JUDGMENT BATTERY</t>
  </si>
  <si>
    <t>Instructions: For each scenario below, review the dilemma and select your chosen course of action in Column D (Dropdown). Each option carries distinct trade-offs.</t>
  </si>
  <si>
    <t>Scenario #</t>
  </si>
  <si>
    <t>Context &amp; Dilemma</t>
  </si>
  <si>
    <t>Strategic Options (A - D)</t>
  </si>
  <si>
    <t>Candidate Selection</t>
  </si>
  <si>
    <t>Scenario 1</t>
  </si>
  <si>
    <t>Capital Payout vs. Unseen Structural Wear
Situation: You are CEO of an infrastructure firm. Following a successful turnaround, a promised £120m dividend payout and £4m manager bonus pool are due next week. A new structural inspection reveals hidden sub-surface fatigue at your primary distribution hub. It is certified safe today (&lt;1% annual failure risk), but a full repair will cost £110m over 3 years.
Dilemma: Paying the dividend preserves credit rating, pension yields, and staff retention, but forces high-interest commercial borrowing later for repairs. Cancelling it funds structural safety immediately, but triggers an instant credit downgrade, executive resignations, and cuts to pensioner income.</t>
  </si>
  <si>
    <t>A) Pay a 50% dividend (£60m) and reduced bonuses; deploy £60m to immediate repairs and apply for state infrastructure matching grants.
B) Cancel the dividend and bonuses entirely; reallocate all £120m to an immediate asset overhaul and accept the credit rating drop.
C) Proceed with the full £120m payout as promised to protect credit and retention; secure commercial bank loans over 24 months for repairs.
D) Lock funds in a 12-month repair escrow; issue long-dated equity warrants to managers in lieu of cash bonuses.</t>
  </si>
  <si>
    <t>Option A</t>
  </si>
  <si>
    <t>Scenario 2</t>
  </si>
  <si>
    <t>Remote Disaster Triage (Emergency Logistics)
Situation: You lead an international disaster response team after an earthquake. Roads are cut, and you have one heavy-lift helicopter for the next 72 hours.
Dilemma: Site Alpha (makeshift clinic) has 120 injured patients running out of surgical supplies (14 imminent deaths). Site Beta (isolated village) has 450 civilians with zero food facing starvation and violent civil unrest. Your veteran pilot refuses to fly into Alpha's unlit mountain ravine at dusk.</t>
  </si>
  <si>
    <t>A) Stand down night flights until military peacekeepers provide armed escort corridors at dawn, delaying delivery by 24 hours.
B) Fly the first sorties to Beta to prevent riots, using the political goodwill to negotiate safe ground passage to Alpha later.
C) Order the pilot to fly to Alpha immediately using night-vision gear, threatening contract termination if he refuses.
D) Drop 50/50 supplies at a neutral midway point, requiring local elders from both sites to arrange mule transport across contested lines.</t>
  </si>
  <si>
    <t>Option C</t>
  </si>
  <si>
    <t>Scenario 3</t>
  </si>
  <si>
    <t>Maritime Search &amp; Rescue Asset Deployment
Situation: You are Director of Coastguard Operations during a winter storm. Two vessels are in critical distress at opposite edges of your sector with only one all-weather cutter available.
Dilemma: A passenger ferry with 180 people is drifting toward rocks (15% grounding risk, tugboats 4 hours away). An overturned trawler has 6 crew members trapped in a freezing air pocket with a confirmed 90-minute survival limit.</t>
  </si>
  <si>
    <t>A) Send the cutter to the trawler to guarantee rescue of the 6 trapped crew within 90 minutes, relying on commercial tugs to reach the ferry.
B) Order a nearby foreign container ship to divert to the ferry while your cutter rescues the trawler crew.
C) Escort the 180-passenger ferry to port, accepting the certain loss of the 6 trawler crew members.
D) Run a 20-minute surface search at the trawler, then break off at maximum speed to intercept the ferry.</t>
  </si>
  <si>
    <t>Scenario 4</t>
  </si>
  <si>
    <t>Clean Energy Transmission vs. Historical Land Treaty
Situation: You head a national energy transition authority building a £1.8B power line to connect offshore wind to 3 million homes and cut national carbon emissions by 8%.
Dilemma: The final 12 miles cross unceded ancestral land protected by a historic treaty. Re-routing around the boundary costs £240m and adds a 3-year delay, requiring coal plants to run during the interim.</t>
  </si>
  <si>
    <t>A) Approve the £240m bypass route and 3-year delay, accepting higher short-term emissions to protect indigenous treaty rights.
B) Exercise state legal powers to build on schedule through the corridor, paying 200% statutory financial compensation into community trust funds.
C) Offer the community a 20% perpetual royalty on line transmission revenues in exchange for voluntary immediate access.
D) Underground the cables through the protected corridor at a cost of £140m, splitting the cost overrun with regional taxpayers.</t>
  </si>
  <si>
    <t>Scenario 5</t>
  </si>
  <si>
    <t>Junior Talent Pipeline vs. AI Profit Surge
Situation: You are Managing Partner of an elite 2,000-person commercial advisory and law firm. A new AI engine executes discovery, contract drafting, and research in minutes at 95% lower cost.
Dilemma: Clients demand a 35% fee cut. Cutting junior associate intake from 250 down to 25 saves £42m annually and lifts partner profits by 28%. However, cutting junior hiring eliminates the firm's cognitive apprenticeship model—meaning in 15 years the firm will have no seasoned partners capable of auditing the AI, handling high-stakes client negotiations, or leading complex litigation.</t>
  </si>
  <si>
    <t>A) Restrict AI substitution; maintain full junior hiring (250/yr) to protect 20-year institutional judgment, absorbing a 20% near-term client revenue defection.
B) Spin off the AI tool into a separate low-cost legal-tech volume business; keep the parent partnership 100% bespoke and human-led at premium rates.
C) Cut junior intake by 90% immediately, pass fee cuts to clients, and harvest the 28% profit lift for current equity partners.
D) Deploy the AI across all client work, keep 50% junior intake, and fund a £15m 'Deep Advisory &amp; Edge-Case Academy' using partner profits.</t>
  </si>
  <si>
    <t>Option D</t>
  </si>
  <si>
    <t>Scenario 6</t>
  </si>
  <si>
    <t>Clinical Safety Anomaly vs. Essential Antibiotic Delay
Situation: You are Chief Medical Officer of a pharmaceutical firm completing Phase III trials for an antibiotic against drug-resistant hospital superbugs. The drug cures 88% of cases and is projected to save 40,000 lives annually.
Dilemma: Final subgroup data reveals a rare, unexplainable liver toxicity signal in 0.4% of patients with pre-existing metabolic conditions (not statistically significant under regulatory disclosure rules). Halting the launch for an 18-month safety trial will cause an estimated 60,000 preventable deaths from untreated superbug infections during the delay.</t>
  </si>
  <si>
    <t>A) File for approval immediately with a voluntary warning label restricting use in patients with metabolic conditions, protecting the vulnerable without delaying general access.
B) Submit all unredacted trial data and the 0.4% signal directly to health regulators, leaving the risk determination to public authorities despite review delays.
C) Launch immediately under standard endpoints to maximize lives saved; set up a voluntary post-market registry to track liver telemetry in real time.
D) Halt the filing immediately to run the 18-month safety trial, accepting the write-down and the clinical delay to guarantee zero toxic risk.</t>
  </si>
  <si>
    <t>EXECUTIVE CARDINAL VIRTUE DIAGNOSTIC — SCORING ENGINE REFERENCE</t>
  </si>
  <si>
    <t>Key (Lookup)</t>
  </si>
  <si>
    <t>Option</t>
  </si>
  <si>
    <t>Net Prudence (P)</t>
  </si>
  <si>
    <t>Net Fortitude (F)</t>
  </si>
  <si>
    <t>Net Temperance (T)</t>
  </si>
  <si>
    <t>Net Justice (J)</t>
  </si>
  <si>
    <t>Virtues Present / Breached</t>
  </si>
  <si>
    <t>Behavioral Trait Tag</t>
  </si>
  <si>
    <t>Q1-Option A</t>
  </si>
  <si>
    <t>+2P, +1T / -2F</t>
  </si>
  <si>
    <t>Adaptive Compromise</t>
  </si>
  <si>
    <t>Q1-Option B</t>
  </si>
  <si>
    <t>Option B</t>
  </si>
  <si>
    <t>+2F, +1P / -2J</t>
  </si>
  <si>
    <t>Aggressive De-risking</t>
  </si>
  <si>
    <t>Q1-Option C</t>
  </si>
  <si>
    <t>+2J, +1P / -2F, -1T</t>
  </si>
  <si>
    <t>Fiduciary Continuity</t>
  </si>
  <si>
    <t>Q1-Option D</t>
  </si>
  <si>
    <t>+2T, +2J / -2P</t>
  </si>
  <si>
    <t>Delayed Structural Reform</t>
  </si>
  <si>
    <t>Q2-Option A</t>
  </si>
  <si>
    <t>+2T / -2F</t>
  </si>
  <si>
    <t>Bureaucratic Risk Avoidance</t>
  </si>
  <si>
    <t>Q2-Option B</t>
  </si>
  <si>
    <t>+2P / -2J</t>
  </si>
  <si>
    <t>Systems-Level Prioritization</t>
  </si>
  <si>
    <t>Q2-Option C</t>
  </si>
  <si>
    <t>+2F, +1J / -2P</t>
  </si>
  <si>
    <t>Decisive Moral Intervention</t>
  </si>
  <si>
    <t>Q2-Option D</t>
  </si>
  <si>
    <t>+2J / -2P</t>
  </si>
  <si>
    <t>Mathematical Egalitarianism</t>
  </si>
  <si>
    <t>Q3-Option A</t>
  </si>
  <si>
    <t>Direct Ethical Focus</t>
  </si>
  <si>
    <t>Q3-Option B</t>
  </si>
  <si>
    <t>Asymmetric Risk Leverage</t>
  </si>
  <si>
    <t>Q3-Option C</t>
  </si>
  <si>
    <t>+2P / -2J, -1F</t>
  </si>
  <si>
    <t>Maximized Welfare Utility</t>
  </si>
  <si>
    <t>Q3-Option D</t>
  </si>
  <si>
    <t>+1T, +1P / -2F</t>
  </si>
  <si>
    <t>Hedged Compromise</t>
  </si>
  <si>
    <t>Q4-Option A</t>
  </si>
  <si>
    <t>+2J, +1F / -2P</t>
  </si>
  <si>
    <t>Uncompromising Deontology</t>
  </si>
  <si>
    <t>Q4-Option B</t>
  </si>
  <si>
    <t>Macro-Economic Expediency</t>
  </si>
  <si>
    <t>Q4-Option C</t>
  </si>
  <si>
    <t>+2P, +1J / -1T</t>
  </si>
  <si>
    <t>Commercial Equity Alignment</t>
  </si>
  <si>
    <t>Q4-Option D</t>
  </si>
  <si>
    <t>+1T, +1P / -2J</t>
  </si>
  <si>
    <t>Technical Burden-Shifting</t>
  </si>
  <si>
    <t>Q5-Option A</t>
  </si>
  <si>
    <t>+2F, +2J / -2P</t>
  </si>
  <si>
    <t>Guild Protectionism</t>
  </si>
  <si>
    <t>Q5-Option B</t>
  </si>
  <si>
    <t>Entity-Level Arbitrage</t>
  </si>
  <si>
    <t>Q5-Option C</t>
  </si>
  <si>
    <t>+2P / -2J, -2T</t>
  </si>
  <si>
    <t>Capital Extraction</t>
  </si>
  <si>
    <t>Q5-Option D</t>
  </si>
  <si>
    <t>+2P, +2T / -1F</t>
  </si>
  <si>
    <t>Phronetic Stewardship</t>
  </si>
  <si>
    <t>Q6-Option A</t>
  </si>
  <si>
    <t>+2P, +1T / -1F</t>
  </si>
  <si>
    <t>Granular Risk Mitigation</t>
  </si>
  <si>
    <t>Q6-Option B</t>
  </si>
  <si>
    <t>Process Regulatory Deference</t>
  </si>
  <si>
    <t>Q6-Option C</t>
  </si>
  <si>
    <t>Maximum Life Preservation</t>
  </si>
  <si>
    <t>Q6-Option D</t>
  </si>
  <si>
    <t>+2J, +2F / -2P</t>
  </si>
  <si>
    <t>Absolute Precautionary Stance</t>
  </si>
  <si>
    <t>EXECUTIVE CHARACTER &amp; DECISION ARCHITECTURE DASHBOARD</t>
  </si>
  <si>
    <t>1. NET CARDINAL VIRTUE VECTORS (-12 to +12)</t>
  </si>
  <si>
    <t>Cardinal Virtue</t>
  </si>
  <si>
    <t>Net Score</t>
  </si>
  <si>
    <t>Scale Range</t>
  </si>
  <si>
    <t>Diagnostic Interpretation</t>
  </si>
  <si>
    <t>Prudence (Phronesis)</t>
  </si>
  <si>
    <t>-12 to +12</t>
  </si>
  <si>
    <t>Systemic foresight vs. immediate utility trade-off</t>
  </si>
  <si>
    <t>Fortitude (Moral Courage)</t>
  </si>
  <si>
    <t>Willingness to absorb friction and direct accountability</t>
  </si>
  <si>
    <t>Temperance (Restraint)</t>
  </si>
  <si>
    <t>Resistance to short-term greed, ego, and over-extraction</t>
  </si>
  <si>
    <t>Justice (Fairness &amp; Truth)</t>
  </si>
  <si>
    <t>Distributive equity and commitment to covenants</t>
  </si>
  <si>
    <t>2. SCENARIO-BY-SCENARIO RESPONSE AUDIT</t>
  </si>
  <si>
    <t>Dilemma Context</t>
  </si>
  <si>
    <t>Selected Choice</t>
  </si>
  <si>
    <t>Virtue Vector Impact (+ / -)</t>
  </si>
  <si>
    <t>Capital Payout vs. Asset Wear</t>
  </si>
  <si>
    <t>Remote Disaster Triage</t>
  </si>
  <si>
    <t>Maritime Search &amp; Rescue</t>
  </si>
  <si>
    <t>Clean Energy vs. Land Treaty</t>
  </si>
  <si>
    <t>Junior Talent vs. AI Surge</t>
  </si>
  <si>
    <t>Clinical Anomaly vs. Antibiotic</t>
  </si>
  <si>
    <t>3. PLATFORM INTEGRATION &amp; 3-DOMAIN TRIANGULATION</t>
  </si>
  <si>
    <t>Domain 1: How They Think (CPP / SST)</t>
  </si>
  <si>
    <t>Cross-references Net Prudence with Cognadev cognitive complexity band (Level 2-5). High CPP with low Prudence flags cynical optimization.</t>
  </si>
  <si>
    <t>Domain 2: How They Show Up (ZF / Hogan)</t>
  </si>
  <si>
    <t>Cross-references Net Fortitude &amp; Temperance. Negative Fortitude flags Cautious/Dutiful derailers; negative Temperance flags Bold/Mischievous risk.</t>
  </si>
  <si>
    <t>Domain 3: How They Connect (CTS ONA)</t>
  </si>
  <si>
    <t>Cross-references Net Justice with ONA network centrality. Negative Justice flags structural silo gatekeeping and transactional erosion.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</si>
</sst>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1"/>
      <color theme="1"/>
      <name val="Calibri"/>
      <family val="2"/>
      <scheme val="minor"/>
    </font>
    <font>
      <b/>
      <sz val="13"/>
      <color rgb="FFFFFFFF"/>
      <name val="Segoe UI"/>
      <family val="2"/>
    </font>
    <font>
      <b/>
      <sz val="9.5"/>
      <color rgb="FFFFFFFF"/>
      <name val="Segoe UI"/>
      <family val="2"/>
    </font>
    <font>
      <sz val="9"/>
      <color rgb="FF334155"/>
      <name val="Segoe UI"/>
      <family val="2"/>
    </font>
    <font>
      <i/>
      <sz val="8.5"/>
      <color rgb="FF64748B"/>
      <name val="Segoe UI"/>
      <family val="2"/>
    </font>
    <font>
      <b/>
      <sz val="9.5"/>
      <color rgb="FF1E293B"/>
      <name val="Segoe UI"/>
      <family val="2"/>
    </font>
    <font>
      <b/>
      <sz val="10.5"/>
      <color rgb="FFFFFFFF"/>
      <name val="Segoe UI"/>
      <family val="2"/>
    </font>
  </fonts>
  <fills count="8">
    <fill>
      <patternFill patternType="none"/>
    </fill>
    <fill>
      <patternFill patternType="gray125"/>
    </fill>
    <fill>
      <patternFill patternType="solid">
        <fgColor rgb="FF1E293B"/>
        <bgColor rgb="FF1E293B"/>
      </patternFill>
    </fill>
    <fill>
      <patternFill patternType="solid">
        <fgColor rgb="FF334155"/>
        <bgColor rgb="FF334155"/>
      </patternFill>
    </fill>
    <fill>
      <patternFill patternType="solid">
        <fgColor rgb="FFF1F5F9"/>
        <bgColor rgb="FFF1F5F9"/>
      </patternFill>
    </fill>
    <fill>
      <patternFill patternType="solid">
        <fgColor rgb="FFEFF6FF"/>
        <bgColor rgb="FFEFF6FF"/>
      </patternFill>
    </fill>
    <fill>
      <patternFill patternType="solid">
        <fgColor rgb="FF475569"/>
        <bgColor rgb="FF475569"/>
      </patternFill>
    </fill>
    <fill>
      <patternFill patternType="solid">
        <fgColor rgb="FFF8FAFC"/>
        <b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6">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5" fillId="0" borderId="1" xfId="0" applyFont="1" applyBorder="1" applyAlignment="1">
      <alignment horizontal="center" vertical="top"/>
    </xf>
    <xf numFmtId="0" fontId="3" fillId="0" borderId="1" xfId="0" applyFont="1" applyBorder="1" applyAlignment="1">
      <alignment horizontal="left" vertical="top" wrapText="1"/>
    </xf>
    <xf numFmtId="0" fontId="5" fillId="5" borderId="1" xfId="0" applyFont="1" applyFill="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right" vertical="center"/>
    </xf>
    <xf numFmtId="0" fontId="3" fillId="0" borderId="1" xfId="0" applyFont="1" applyBorder="1"/>
    <xf numFmtId="0" fontId="3" fillId="4" borderId="1" xfId="0" applyFont="1" applyFill="1" applyBorder="1" applyAlignment="1">
      <alignment horizontal="center" vertical="center"/>
    </xf>
    <xf numFmtId="164" fontId="3" fillId="4" borderId="1" xfId="0" applyNumberFormat="1" applyFont="1" applyFill="1" applyBorder="1" applyAlignment="1">
      <alignment horizontal="right" vertical="center"/>
    </xf>
    <xf numFmtId="0" fontId="3" fillId="4" borderId="1" xfId="0" applyFont="1" applyFill="1" applyBorder="1"/>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0" fontId="5" fillId="0" borderId="1" xfId="0" applyFont="1" applyBorder="1"/>
    <xf numFmtId="164" fontId="5" fillId="7" borderId="1" xfId="0" applyNumberFormat="1" applyFont="1" applyFill="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left" vertical="center"/>
    </xf>
    <xf numFmtId="0" fontId="5" fillId="0" borderId="1" xfId="0" applyFont="1" applyBorder="1" applyAlignment="1">
      <alignment horizontal="center" vertical="center"/>
    </xf>
    <xf numFmtId="0" fontId="5" fillId="7" borderId="1" xfId="0" applyFont="1" applyFill="1" applyBorder="1" applyAlignment="1">
      <alignment horizontal="center" vertical="center"/>
    </xf>
    <xf numFmtId="0" fontId="1" fillId="2" borderId="0" xfId="0" applyFont="1" applyFill="1" applyAlignment="1">
      <alignment horizontal="left" vertical="center" indent="1"/>
    </xf>
    <xf numFmtId="0" fontId="0" fillId="0" borderId="0" xfId="0"/>
    <xf numFmtId="0" fontId="4" fillId="0" borderId="0" xfId="0" applyFont="1" applyAlignment="1">
      <alignment horizontal="left" vertical="center" indent="1"/>
    </xf>
    <xf numFmtId="0" fontId="3" fillId="0" borderId="1" xfId="0" applyFont="1" applyBorder="1" applyAlignment="1">
      <alignment horizontal="left" vertical="center"/>
    </xf>
    <xf numFmtId="0" fontId="0" fillId="0" borderId="1" xfId="0" applyBorder="1"/>
    <xf numFmtId="0" fontId="6"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topLeftCell="A6" workbookViewId="0">
      <selection activeCell="D9" sqref="D9"/>
    </sheetView>
  </sheetViews>
  <sheetFormatPr defaultRowHeight="14.5" x14ac:dyDescent="0.35"/>
  <cols>
    <col min="1" max="1" width="14" customWidth="1"/>
    <col min="2" max="3" width="54" customWidth="1"/>
    <col min="4" max="4" width="22" customWidth="1"/>
  </cols>
  <sheetData>
    <row r="1" spans="1:4" ht="20" x14ac:dyDescent="0.35">
      <c r="A1" s="20" t="s">
        <v>0</v>
      </c>
      <c r="B1" s="21"/>
      <c r="C1" s="21"/>
      <c r="D1" s="21"/>
    </row>
    <row r="2" spans="1:4" x14ac:dyDescent="0.35">
      <c r="A2" s="22" t="s">
        <v>1</v>
      </c>
      <c r="B2" s="21"/>
      <c r="C2" s="21"/>
      <c r="D2" s="21"/>
    </row>
    <row r="3" spans="1:4" x14ac:dyDescent="0.35">
      <c r="A3" s="1" t="s">
        <v>2</v>
      </c>
      <c r="B3" s="2" t="s">
        <v>3</v>
      </c>
      <c r="C3" s="2" t="s">
        <v>4</v>
      </c>
      <c r="D3" s="1" t="s">
        <v>5</v>
      </c>
    </row>
    <row r="4" spans="1:4" ht="196" x14ac:dyDescent="0.35">
      <c r="A4" s="3" t="s">
        <v>6</v>
      </c>
      <c r="B4" s="4" t="s">
        <v>7</v>
      </c>
      <c r="C4" s="4" t="s">
        <v>8</v>
      </c>
      <c r="D4" s="5" t="s">
        <v>13</v>
      </c>
    </row>
    <row r="5" spans="1:4" ht="154" x14ac:dyDescent="0.35">
      <c r="A5" s="3" t="s">
        <v>10</v>
      </c>
      <c r="B5" s="4" t="s">
        <v>11</v>
      </c>
      <c r="C5" s="4" t="s">
        <v>12</v>
      </c>
      <c r="D5" s="5" t="s">
        <v>9</v>
      </c>
    </row>
    <row r="6" spans="1:4" ht="154" x14ac:dyDescent="0.35">
      <c r="A6" s="3" t="s">
        <v>14</v>
      </c>
      <c r="B6" s="4" t="s">
        <v>15</v>
      </c>
      <c r="C6" s="4" t="s">
        <v>16</v>
      </c>
      <c r="D6" s="5" t="s">
        <v>40</v>
      </c>
    </row>
    <row r="7" spans="1:4" ht="168" x14ac:dyDescent="0.35">
      <c r="A7" s="3" t="s">
        <v>17</v>
      </c>
      <c r="B7" s="4" t="s">
        <v>18</v>
      </c>
      <c r="C7" s="4" t="s">
        <v>19</v>
      </c>
      <c r="D7" s="5" t="s">
        <v>9</v>
      </c>
    </row>
    <row r="8" spans="1:4" ht="182" x14ac:dyDescent="0.35">
      <c r="A8" s="3" t="s">
        <v>20</v>
      </c>
      <c r="B8" s="4" t="s">
        <v>21</v>
      </c>
      <c r="C8" s="4" t="s">
        <v>22</v>
      </c>
      <c r="D8" s="5" t="s">
        <v>9</v>
      </c>
    </row>
    <row r="9" spans="1:4" ht="196" x14ac:dyDescent="0.35">
      <c r="A9" s="3" t="s">
        <v>24</v>
      </c>
      <c r="B9" s="4" t="s">
        <v>25</v>
      </c>
      <c r="C9" s="4" t="s">
        <v>26</v>
      </c>
      <c r="D9" s="5" t="s">
        <v>13</v>
      </c>
    </row>
  </sheetData>
  <mergeCells count="2">
    <mergeCell ref="A1:D1"/>
    <mergeCell ref="A2:D2"/>
  </mergeCells>
  <dataValidations count="1">
    <dataValidation type="list" sqref="D4 D5 D6 D7 D8 D9" xr:uid="{00000000-0002-0000-0000-000000000000}">
      <formula1>"Option A,Option B,Option C,Option 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workbookViewId="0">
      <selection sqref="A1:I1"/>
    </sheetView>
  </sheetViews>
  <sheetFormatPr defaultRowHeight="14.5" x14ac:dyDescent="0.35"/>
  <cols>
    <col min="1" max="1" width="16" customWidth="1"/>
    <col min="2" max="2" width="12" customWidth="1"/>
    <col min="3" max="3" width="14" customWidth="1"/>
    <col min="4" max="5" width="18" customWidth="1"/>
    <col min="6" max="6" width="20" customWidth="1"/>
    <col min="7" max="7" width="18" customWidth="1"/>
    <col min="8" max="8" width="26" customWidth="1"/>
    <col min="9" max="9" width="30" customWidth="1"/>
  </cols>
  <sheetData>
    <row r="1" spans="1:9" ht="30" customHeight="1" x14ac:dyDescent="0.35">
      <c r="A1" s="20" t="s">
        <v>27</v>
      </c>
      <c r="B1" s="21"/>
      <c r="C1" s="21"/>
      <c r="D1" s="21"/>
      <c r="E1" s="21"/>
      <c r="F1" s="21"/>
      <c r="G1" s="21"/>
      <c r="H1" s="21"/>
      <c r="I1" s="21"/>
    </row>
    <row r="2" spans="1:9" ht="24" customHeight="1" x14ac:dyDescent="0.35">
      <c r="A2" s="1" t="s">
        <v>28</v>
      </c>
      <c r="B2" s="1" t="s">
        <v>2</v>
      </c>
      <c r="C2" s="1" t="s">
        <v>29</v>
      </c>
      <c r="D2" s="1" t="s">
        <v>30</v>
      </c>
      <c r="E2" s="1" t="s">
        <v>31</v>
      </c>
      <c r="F2" s="1" t="s">
        <v>32</v>
      </c>
      <c r="G2" s="1" t="s">
        <v>33</v>
      </c>
      <c r="H2" s="2" t="s">
        <v>34</v>
      </c>
      <c r="I2" s="2" t="s">
        <v>35</v>
      </c>
    </row>
    <row r="3" spans="1:9" ht="20" customHeight="1" x14ac:dyDescent="0.4">
      <c r="A3" s="6" t="s">
        <v>36</v>
      </c>
      <c r="B3" s="6">
        <v>1</v>
      </c>
      <c r="C3" s="6" t="s">
        <v>9</v>
      </c>
      <c r="D3" s="7">
        <v>2</v>
      </c>
      <c r="E3" s="7">
        <v>-2</v>
      </c>
      <c r="F3" s="7">
        <v>1</v>
      </c>
      <c r="G3" s="7">
        <v>0</v>
      </c>
      <c r="H3" s="8" t="s">
        <v>37</v>
      </c>
      <c r="I3" s="8" t="s">
        <v>38</v>
      </c>
    </row>
    <row r="4" spans="1:9" ht="20" customHeight="1" x14ac:dyDescent="0.4">
      <c r="A4" s="9" t="s">
        <v>39</v>
      </c>
      <c r="B4" s="9">
        <v>1</v>
      </c>
      <c r="C4" s="9" t="s">
        <v>40</v>
      </c>
      <c r="D4" s="10">
        <v>1</v>
      </c>
      <c r="E4" s="10">
        <v>2</v>
      </c>
      <c r="F4" s="10">
        <v>0</v>
      </c>
      <c r="G4" s="10">
        <v>-2</v>
      </c>
      <c r="H4" s="11" t="s">
        <v>41</v>
      </c>
      <c r="I4" s="11" t="s">
        <v>42</v>
      </c>
    </row>
    <row r="5" spans="1:9" ht="20" customHeight="1" x14ac:dyDescent="0.4">
      <c r="A5" s="6" t="s">
        <v>43</v>
      </c>
      <c r="B5" s="6">
        <v>1</v>
      </c>
      <c r="C5" s="6" t="s">
        <v>13</v>
      </c>
      <c r="D5" s="7">
        <v>1</v>
      </c>
      <c r="E5" s="7">
        <v>-2</v>
      </c>
      <c r="F5" s="7">
        <v>-1</v>
      </c>
      <c r="G5" s="7">
        <v>2</v>
      </c>
      <c r="H5" s="8" t="s">
        <v>44</v>
      </c>
      <c r="I5" s="8" t="s">
        <v>45</v>
      </c>
    </row>
    <row r="6" spans="1:9" ht="20" customHeight="1" x14ac:dyDescent="0.4">
      <c r="A6" s="9" t="s">
        <v>46</v>
      </c>
      <c r="B6" s="9">
        <v>1</v>
      </c>
      <c r="C6" s="9" t="s">
        <v>23</v>
      </c>
      <c r="D6" s="10">
        <v>-2</v>
      </c>
      <c r="E6" s="10">
        <v>0</v>
      </c>
      <c r="F6" s="10">
        <v>2</v>
      </c>
      <c r="G6" s="10">
        <v>2</v>
      </c>
      <c r="H6" s="11" t="s">
        <v>47</v>
      </c>
      <c r="I6" s="11" t="s">
        <v>48</v>
      </c>
    </row>
    <row r="7" spans="1:9" ht="20" customHeight="1" x14ac:dyDescent="0.4">
      <c r="A7" s="6" t="s">
        <v>49</v>
      </c>
      <c r="B7" s="6">
        <v>2</v>
      </c>
      <c r="C7" s="6" t="s">
        <v>9</v>
      </c>
      <c r="D7" s="7">
        <v>0</v>
      </c>
      <c r="E7" s="7">
        <v>-2</v>
      </c>
      <c r="F7" s="7">
        <v>2</v>
      </c>
      <c r="G7" s="7">
        <v>0</v>
      </c>
      <c r="H7" s="8" t="s">
        <v>50</v>
      </c>
      <c r="I7" s="8" t="s">
        <v>51</v>
      </c>
    </row>
    <row r="8" spans="1:9" ht="20" customHeight="1" x14ac:dyDescent="0.4">
      <c r="A8" s="9" t="s">
        <v>52</v>
      </c>
      <c r="B8" s="9">
        <v>2</v>
      </c>
      <c r="C8" s="9" t="s">
        <v>40</v>
      </c>
      <c r="D8" s="10">
        <v>2</v>
      </c>
      <c r="E8" s="10">
        <v>0</v>
      </c>
      <c r="F8" s="10">
        <v>0</v>
      </c>
      <c r="G8" s="10">
        <v>-2</v>
      </c>
      <c r="H8" s="11" t="s">
        <v>53</v>
      </c>
      <c r="I8" s="11" t="s">
        <v>54</v>
      </c>
    </row>
    <row r="9" spans="1:9" ht="20" customHeight="1" x14ac:dyDescent="0.4">
      <c r="A9" s="6" t="s">
        <v>55</v>
      </c>
      <c r="B9" s="6">
        <v>2</v>
      </c>
      <c r="C9" s="6" t="s">
        <v>13</v>
      </c>
      <c r="D9" s="7">
        <v>-2</v>
      </c>
      <c r="E9" s="7">
        <v>2</v>
      </c>
      <c r="F9" s="7">
        <v>0</v>
      </c>
      <c r="G9" s="7">
        <v>1</v>
      </c>
      <c r="H9" s="8" t="s">
        <v>56</v>
      </c>
      <c r="I9" s="8" t="s">
        <v>57</v>
      </c>
    </row>
    <row r="10" spans="1:9" ht="20" customHeight="1" x14ac:dyDescent="0.4">
      <c r="A10" s="9" t="s">
        <v>58</v>
      </c>
      <c r="B10" s="9">
        <v>2</v>
      </c>
      <c r="C10" s="9" t="s">
        <v>23</v>
      </c>
      <c r="D10" s="10">
        <v>-2</v>
      </c>
      <c r="E10" s="10">
        <v>0</v>
      </c>
      <c r="F10" s="10">
        <v>0</v>
      </c>
      <c r="G10" s="10">
        <v>2</v>
      </c>
      <c r="H10" s="11" t="s">
        <v>59</v>
      </c>
      <c r="I10" s="11" t="s">
        <v>60</v>
      </c>
    </row>
    <row r="11" spans="1:9" ht="20" customHeight="1" x14ac:dyDescent="0.4">
      <c r="A11" s="6" t="s">
        <v>61</v>
      </c>
      <c r="B11" s="6">
        <v>3</v>
      </c>
      <c r="C11" s="6" t="s">
        <v>9</v>
      </c>
      <c r="D11" s="7">
        <v>-2</v>
      </c>
      <c r="E11" s="7">
        <v>2</v>
      </c>
      <c r="F11" s="7">
        <v>0</v>
      </c>
      <c r="G11" s="7">
        <v>1</v>
      </c>
      <c r="H11" s="8" t="s">
        <v>56</v>
      </c>
      <c r="I11" s="8" t="s">
        <v>62</v>
      </c>
    </row>
    <row r="12" spans="1:9" ht="20" customHeight="1" x14ac:dyDescent="0.4">
      <c r="A12" s="9" t="s">
        <v>63</v>
      </c>
      <c r="B12" s="9">
        <v>3</v>
      </c>
      <c r="C12" s="9" t="s">
        <v>40</v>
      </c>
      <c r="D12" s="10">
        <v>2</v>
      </c>
      <c r="E12" s="10">
        <v>0</v>
      </c>
      <c r="F12" s="10">
        <v>0</v>
      </c>
      <c r="G12" s="10">
        <v>-2</v>
      </c>
      <c r="H12" s="11" t="s">
        <v>53</v>
      </c>
      <c r="I12" s="11" t="s">
        <v>64</v>
      </c>
    </row>
    <row r="13" spans="1:9" ht="20" customHeight="1" x14ac:dyDescent="0.4">
      <c r="A13" s="6" t="s">
        <v>65</v>
      </c>
      <c r="B13" s="6">
        <v>3</v>
      </c>
      <c r="C13" s="6" t="s">
        <v>13</v>
      </c>
      <c r="D13" s="7">
        <v>2</v>
      </c>
      <c r="E13" s="7">
        <v>-1</v>
      </c>
      <c r="F13" s="7">
        <v>0</v>
      </c>
      <c r="G13" s="7">
        <v>-2</v>
      </c>
      <c r="H13" s="8" t="s">
        <v>66</v>
      </c>
      <c r="I13" s="8" t="s">
        <v>67</v>
      </c>
    </row>
    <row r="14" spans="1:9" ht="20" customHeight="1" x14ac:dyDescent="0.4">
      <c r="A14" s="9" t="s">
        <v>68</v>
      </c>
      <c r="B14" s="9">
        <v>3</v>
      </c>
      <c r="C14" s="9" t="s">
        <v>23</v>
      </c>
      <c r="D14" s="10">
        <v>1</v>
      </c>
      <c r="E14" s="10">
        <v>-2</v>
      </c>
      <c r="F14" s="10">
        <v>1</v>
      </c>
      <c r="G14" s="10">
        <v>0</v>
      </c>
      <c r="H14" s="11" t="s">
        <v>69</v>
      </c>
      <c r="I14" s="11" t="s">
        <v>70</v>
      </c>
    </row>
    <row r="15" spans="1:9" ht="20" customHeight="1" x14ac:dyDescent="0.4">
      <c r="A15" s="6" t="s">
        <v>71</v>
      </c>
      <c r="B15" s="6">
        <v>4</v>
      </c>
      <c r="C15" s="6" t="s">
        <v>9</v>
      </c>
      <c r="D15" s="7">
        <v>-2</v>
      </c>
      <c r="E15" s="7">
        <v>1</v>
      </c>
      <c r="F15" s="7">
        <v>0</v>
      </c>
      <c r="G15" s="7">
        <v>2</v>
      </c>
      <c r="H15" s="8" t="s">
        <v>72</v>
      </c>
      <c r="I15" s="8" t="s">
        <v>73</v>
      </c>
    </row>
    <row r="16" spans="1:9" ht="20" customHeight="1" x14ac:dyDescent="0.4">
      <c r="A16" s="9" t="s">
        <v>74</v>
      </c>
      <c r="B16" s="9">
        <v>4</v>
      </c>
      <c r="C16" s="9" t="s">
        <v>40</v>
      </c>
      <c r="D16" s="10">
        <v>2</v>
      </c>
      <c r="E16" s="10">
        <v>0</v>
      </c>
      <c r="F16" s="10">
        <v>0</v>
      </c>
      <c r="G16" s="10">
        <v>-2</v>
      </c>
      <c r="H16" s="11" t="s">
        <v>53</v>
      </c>
      <c r="I16" s="11" t="s">
        <v>75</v>
      </c>
    </row>
    <row r="17" spans="1:9" ht="20" customHeight="1" x14ac:dyDescent="0.4">
      <c r="A17" s="6" t="s">
        <v>76</v>
      </c>
      <c r="B17" s="6">
        <v>4</v>
      </c>
      <c r="C17" s="6" t="s">
        <v>13</v>
      </c>
      <c r="D17" s="7">
        <v>2</v>
      </c>
      <c r="E17" s="7">
        <v>0</v>
      </c>
      <c r="F17" s="7">
        <v>-1</v>
      </c>
      <c r="G17" s="7">
        <v>1</v>
      </c>
      <c r="H17" s="8" t="s">
        <v>77</v>
      </c>
      <c r="I17" s="8" t="s">
        <v>78</v>
      </c>
    </row>
    <row r="18" spans="1:9" ht="20" customHeight="1" x14ac:dyDescent="0.4">
      <c r="A18" s="9" t="s">
        <v>79</v>
      </c>
      <c r="B18" s="9">
        <v>4</v>
      </c>
      <c r="C18" s="9" t="s">
        <v>23</v>
      </c>
      <c r="D18" s="10">
        <v>1</v>
      </c>
      <c r="E18" s="10">
        <v>0</v>
      </c>
      <c r="F18" s="10">
        <v>1</v>
      </c>
      <c r="G18" s="10">
        <v>-2</v>
      </c>
      <c r="H18" s="11" t="s">
        <v>80</v>
      </c>
      <c r="I18" s="11" t="s">
        <v>81</v>
      </c>
    </row>
    <row r="19" spans="1:9" ht="20" customHeight="1" x14ac:dyDescent="0.4">
      <c r="A19" s="6" t="s">
        <v>82</v>
      </c>
      <c r="B19" s="6">
        <v>5</v>
      </c>
      <c r="C19" s="6" t="s">
        <v>9</v>
      </c>
      <c r="D19" s="7">
        <v>-2</v>
      </c>
      <c r="E19" s="7">
        <v>2</v>
      </c>
      <c r="F19" s="7">
        <v>0</v>
      </c>
      <c r="G19" s="7">
        <v>2</v>
      </c>
      <c r="H19" s="8" t="s">
        <v>83</v>
      </c>
      <c r="I19" s="8" t="s">
        <v>84</v>
      </c>
    </row>
    <row r="20" spans="1:9" ht="20" customHeight="1" x14ac:dyDescent="0.4">
      <c r="A20" s="9" t="s">
        <v>85</v>
      </c>
      <c r="B20" s="9">
        <v>5</v>
      </c>
      <c r="C20" s="9" t="s">
        <v>40</v>
      </c>
      <c r="D20" s="10">
        <v>2</v>
      </c>
      <c r="E20" s="10">
        <v>0</v>
      </c>
      <c r="F20" s="10">
        <v>0</v>
      </c>
      <c r="G20" s="10">
        <v>-2</v>
      </c>
      <c r="H20" s="11" t="s">
        <v>53</v>
      </c>
      <c r="I20" s="11" t="s">
        <v>86</v>
      </c>
    </row>
    <row r="21" spans="1:9" ht="20" customHeight="1" x14ac:dyDescent="0.4">
      <c r="A21" s="6" t="s">
        <v>87</v>
      </c>
      <c r="B21" s="6">
        <v>5</v>
      </c>
      <c r="C21" s="6" t="s">
        <v>13</v>
      </c>
      <c r="D21" s="7">
        <v>2</v>
      </c>
      <c r="E21" s="7">
        <v>0</v>
      </c>
      <c r="F21" s="7">
        <v>-2</v>
      </c>
      <c r="G21" s="7">
        <v>-2</v>
      </c>
      <c r="H21" s="8" t="s">
        <v>88</v>
      </c>
      <c r="I21" s="8" t="s">
        <v>89</v>
      </c>
    </row>
    <row r="22" spans="1:9" ht="20" customHeight="1" x14ac:dyDescent="0.4">
      <c r="A22" s="9" t="s">
        <v>90</v>
      </c>
      <c r="B22" s="9">
        <v>5</v>
      </c>
      <c r="C22" s="9" t="s">
        <v>23</v>
      </c>
      <c r="D22" s="10">
        <v>2</v>
      </c>
      <c r="E22" s="10">
        <v>-1</v>
      </c>
      <c r="F22" s="10">
        <v>2</v>
      </c>
      <c r="G22" s="10">
        <v>0</v>
      </c>
      <c r="H22" s="11" t="s">
        <v>91</v>
      </c>
      <c r="I22" s="11" t="s">
        <v>92</v>
      </c>
    </row>
    <row r="23" spans="1:9" ht="20" customHeight="1" x14ac:dyDescent="0.4">
      <c r="A23" s="6" t="s">
        <v>93</v>
      </c>
      <c r="B23" s="6">
        <v>6</v>
      </c>
      <c r="C23" s="6" t="s">
        <v>9</v>
      </c>
      <c r="D23" s="7">
        <v>2</v>
      </c>
      <c r="E23" s="7">
        <v>-1</v>
      </c>
      <c r="F23" s="7">
        <v>1</v>
      </c>
      <c r="G23" s="7">
        <v>0</v>
      </c>
      <c r="H23" s="8" t="s">
        <v>94</v>
      </c>
      <c r="I23" s="8" t="s">
        <v>95</v>
      </c>
    </row>
    <row r="24" spans="1:9" ht="20" customHeight="1" x14ac:dyDescent="0.4">
      <c r="A24" s="9" t="s">
        <v>96</v>
      </c>
      <c r="B24" s="9">
        <v>6</v>
      </c>
      <c r="C24" s="9" t="s">
        <v>40</v>
      </c>
      <c r="D24" s="10">
        <v>-2</v>
      </c>
      <c r="E24" s="10">
        <v>0</v>
      </c>
      <c r="F24" s="10">
        <v>0</v>
      </c>
      <c r="G24" s="10">
        <v>2</v>
      </c>
      <c r="H24" s="11" t="s">
        <v>59</v>
      </c>
      <c r="I24" s="11" t="s">
        <v>97</v>
      </c>
    </row>
    <row r="25" spans="1:9" ht="20" customHeight="1" x14ac:dyDescent="0.4">
      <c r="A25" s="6" t="s">
        <v>98</v>
      </c>
      <c r="B25" s="6">
        <v>6</v>
      </c>
      <c r="C25" s="6" t="s">
        <v>13</v>
      </c>
      <c r="D25" s="7">
        <v>2</v>
      </c>
      <c r="E25" s="7">
        <v>0</v>
      </c>
      <c r="F25" s="7">
        <v>0</v>
      </c>
      <c r="G25" s="7">
        <v>-2</v>
      </c>
      <c r="H25" s="8" t="s">
        <v>53</v>
      </c>
      <c r="I25" s="8" t="s">
        <v>99</v>
      </c>
    </row>
    <row r="26" spans="1:9" ht="20" customHeight="1" x14ac:dyDescent="0.4">
      <c r="A26" s="9" t="s">
        <v>100</v>
      </c>
      <c r="B26" s="9">
        <v>6</v>
      </c>
      <c r="C26" s="9" t="s">
        <v>23</v>
      </c>
      <c r="D26" s="10">
        <v>-2</v>
      </c>
      <c r="E26" s="10">
        <v>2</v>
      </c>
      <c r="F26" s="10">
        <v>0</v>
      </c>
      <c r="G26" s="10">
        <v>2</v>
      </c>
      <c r="H26" s="11" t="s">
        <v>101</v>
      </c>
      <c r="I26" s="11" t="s">
        <v>102</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topLeftCell="A2" workbookViewId="0">
      <selection sqref="A1:G1"/>
    </sheetView>
  </sheetViews>
  <sheetFormatPr defaultRowHeight="14.5" x14ac:dyDescent="0.35"/>
  <cols>
    <col min="1" max="1" width="36.81640625" bestFit="1" customWidth="1"/>
    <col min="2" max="2" width="28" customWidth="1"/>
    <col min="3" max="3" width="18" customWidth="1"/>
    <col min="4" max="4" width="35" customWidth="1"/>
    <col min="5" max="5" width="32" customWidth="1"/>
  </cols>
  <sheetData>
    <row r="1" spans="1:7" ht="30" customHeight="1" x14ac:dyDescent="0.35">
      <c r="A1" s="20" t="s">
        <v>103</v>
      </c>
      <c r="B1" s="21"/>
      <c r="C1" s="21"/>
      <c r="D1" s="21"/>
      <c r="E1" s="21"/>
      <c r="F1" s="21"/>
      <c r="G1" s="21"/>
    </row>
    <row r="3" spans="1:7" ht="22" customHeight="1" x14ac:dyDescent="0.5">
      <c r="A3" s="25" t="s">
        <v>104</v>
      </c>
      <c r="B3" s="21"/>
      <c r="C3" s="21"/>
      <c r="D3" s="21"/>
    </row>
    <row r="4" spans="1:7" ht="20" customHeight="1" x14ac:dyDescent="0.35">
      <c r="A4" s="12" t="s">
        <v>105</v>
      </c>
      <c r="B4" s="13" t="s">
        <v>106</v>
      </c>
      <c r="C4" s="13" t="s">
        <v>107</v>
      </c>
      <c r="D4" s="12" t="s">
        <v>108</v>
      </c>
    </row>
    <row r="5" spans="1:7" ht="20" customHeight="1" x14ac:dyDescent="0.35">
      <c r="A5" s="14" t="s">
        <v>109</v>
      </c>
      <c r="B5" s="15">
        <f>SUMPRODUCT((Scoring_Matrix!$B$3:$B$26=1)*(Scoring_Matrix!$C$3:$C$26=Assessment!$D$4), Scoring_Matrix!$D$3:$D$26) + SUMPRODUCT((Scoring_Matrix!$B$3:$B$26=2)*(Scoring_Matrix!$C$3:$C$26=Assessment!$D$5), Scoring_Matrix!$D$3:$D$26) + SUMPRODUCT((Scoring_Matrix!$B$3:$B$26=3)*(Scoring_Matrix!$C$3:$C$26=Assessment!$D$6), Scoring_Matrix!$D$3:$D$26) + SUMPRODUCT((Scoring_Matrix!$B$3:$B$26=4)*(Scoring_Matrix!$C$3:$C$26=Assessment!$D$7), Scoring_Matrix!$D$3:$D$26) + SUMPRODUCT((Scoring_Matrix!$B$3:$B$26=5)*(Scoring_Matrix!$C$3:$C$26=Assessment!$D$8), Scoring_Matrix!$D$3:$D$26) + SUMPRODUCT((Scoring_Matrix!$B$3:$B$26=6)*(Scoring_Matrix!$C$3:$C$26=Assessment!$D$9), Scoring_Matrix!$D$3:$D$26)</f>
        <v>1</v>
      </c>
      <c r="C5" s="16" t="s">
        <v>110</v>
      </c>
      <c r="D5" s="17" t="s">
        <v>111</v>
      </c>
    </row>
    <row r="6" spans="1:7" ht="20" customHeight="1" x14ac:dyDescent="0.35">
      <c r="A6" s="14" t="s">
        <v>112</v>
      </c>
      <c r="B6" s="15">
        <f>SUMPRODUCT((Scoring_Matrix!$B$3:$B$26=1)*(Scoring_Matrix!$C$3:$C$26=Assessment!$D$4), Scoring_Matrix!$E$3:$E$26) + SUMPRODUCT((Scoring_Matrix!$B$3:$B$26=2)*(Scoring_Matrix!$C$3:$C$26=Assessment!$D$5), Scoring_Matrix!$E$3:$E$26) + SUMPRODUCT((Scoring_Matrix!$B$3:$B$26=3)*(Scoring_Matrix!$C$3:$C$26=Assessment!$D$6), Scoring_Matrix!$E$3:$E$26) + SUMPRODUCT((Scoring_Matrix!$B$3:$B$26=4)*(Scoring_Matrix!$C$3:$C$26=Assessment!$D$7), Scoring_Matrix!$E$3:$E$26) + SUMPRODUCT((Scoring_Matrix!$B$3:$B$26=5)*(Scoring_Matrix!$C$3:$C$26=Assessment!$D$8), Scoring_Matrix!$E$3:$E$26) + SUMPRODUCT((Scoring_Matrix!$B$3:$B$26=6)*(Scoring_Matrix!$C$3:$C$26=Assessment!$D$9), Scoring_Matrix!$E$3:$E$26)</f>
        <v>-1</v>
      </c>
      <c r="C6" s="16" t="s">
        <v>110</v>
      </c>
      <c r="D6" s="17" t="s">
        <v>113</v>
      </c>
    </row>
    <row r="7" spans="1:7" ht="20" customHeight="1" x14ac:dyDescent="0.35">
      <c r="A7" s="14" t="s">
        <v>114</v>
      </c>
      <c r="B7" s="15">
        <f>SUMPRODUCT((Scoring_Matrix!$B$3:$B$26=1)*(Scoring_Matrix!$C$3:$C$26=Assessment!$D$4), Scoring_Matrix!$F$3:$F$26) + SUMPRODUCT((Scoring_Matrix!$B$3:$B$26=2)*(Scoring_Matrix!$C$3:$C$26=Assessment!$D$5), Scoring_Matrix!$F$3:$F$26) + SUMPRODUCT((Scoring_Matrix!$B$3:$B$26=3)*(Scoring_Matrix!$C$3:$C$26=Assessment!$D$6), Scoring_Matrix!$F$3:$F$26) + SUMPRODUCT((Scoring_Matrix!$B$3:$B$26=4)*(Scoring_Matrix!$C$3:$C$26=Assessment!$D$7), Scoring_Matrix!$F$3:$F$26) + SUMPRODUCT((Scoring_Matrix!$B$3:$B$26=5)*(Scoring_Matrix!$C$3:$C$26=Assessment!$D$8), Scoring_Matrix!$F$3:$F$26) + SUMPRODUCT((Scoring_Matrix!$B$3:$B$26=6)*(Scoring_Matrix!$C$3:$C$26=Assessment!$D$9), Scoring_Matrix!$F$3:$F$26)</f>
        <v>1</v>
      </c>
      <c r="C7" s="16" t="s">
        <v>110</v>
      </c>
      <c r="D7" s="17" t="s">
        <v>115</v>
      </c>
    </row>
    <row r="8" spans="1:7" ht="20" customHeight="1" x14ac:dyDescent="0.35">
      <c r="A8" s="14" t="s">
        <v>116</v>
      </c>
      <c r="B8" s="15">
        <f>SUMPRODUCT((Scoring_Matrix!$B$3:$B$26=1)*(Scoring_Matrix!$C$3:$C$26=Assessment!$D$4), Scoring_Matrix!$G$3:$G$26) + SUMPRODUCT((Scoring_Matrix!$B$3:$B$26=2)*(Scoring_Matrix!$C$3:$C$26=Assessment!$D$5), Scoring_Matrix!$G$3:$G$26) + SUMPRODUCT((Scoring_Matrix!$B$3:$B$26=3)*(Scoring_Matrix!$C$3:$C$26=Assessment!$D$6), Scoring_Matrix!$G$3:$G$26) + SUMPRODUCT((Scoring_Matrix!$B$3:$B$26=4)*(Scoring_Matrix!$C$3:$C$26=Assessment!$D$7), Scoring_Matrix!$G$3:$G$26) + SUMPRODUCT((Scoring_Matrix!$B$3:$B$26=5)*(Scoring_Matrix!$C$3:$C$26=Assessment!$D$8), Scoring_Matrix!$G$3:$G$26) + SUMPRODUCT((Scoring_Matrix!$B$3:$B$26=6)*(Scoring_Matrix!$C$3:$C$26=Assessment!$D$9), Scoring_Matrix!$G$3:$G$26)</f>
        <v>2</v>
      </c>
      <c r="C8" s="16" t="s">
        <v>110</v>
      </c>
      <c r="D8" s="17" t="s">
        <v>117</v>
      </c>
    </row>
    <row r="10" spans="1:7" ht="22" customHeight="1" x14ac:dyDescent="0.5">
      <c r="A10" s="25" t="s">
        <v>118</v>
      </c>
      <c r="B10" s="21"/>
      <c r="C10" s="21"/>
      <c r="D10" s="21"/>
      <c r="E10" s="21"/>
    </row>
    <row r="11" spans="1:7" ht="20" customHeight="1" x14ac:dyDescent="0.35">
      <c r="A11" s="13" t="s">
        <v>2</v>
      </c>
      <c r="B11" s="12" t="s">
        <v>119</v>
      </c>
      <c r="C11" s="13" t="s">
        <v>120</v>
      </c>
      <c r="D11" s="12" t="s">
        <v>35</v>
      </c>
      <c r="E11" s="12" t="s">
        <v>121</v>
      </c>
    </row>
    <row r="12" spans="1:7" ht="20" customHeight="1" x14ac:dyDescent="0.4">
      <c r="A12" s="18" t="s">
        <v>6</v>
      </c>
      <c r="B12" s="8" t="s">
        <v>122</v>
      </c>
      <c r="C12" s="19" t="str">
        <f>Assessment!D4</f>
        <v>Option C</v>
      </c>
      <c r="D12" s="14" t="str">
        <f>INDEX(Scoring_Matrix!$I$3:$I$26, MATCH("Q1-"&amp;Assessment!D4, Scoring_Matrix!$A$3:$A$26, 0))</f>
        <v>Fiduciary Continuity</v>
      </c>
      <c r="E12" s="8" t="str">
        <f>INDEX(Scoring_Matrix!$H$3:$H$26, MATCH("Q1-"&amp;Assessment!D4, Scoring_Matrix!$A$3:$A$26, 0))</f>
        <v>+2J, +1P / -2F, -1T</v>
      </c>
    </row>
    <row r="13" spans="1:7" ht="20" customHeight="1" x14ac:dyDescent="0.4">
      <c r="A13" s="18" t="s">
        <v>10</v>
      </c>
      <c r="B13" s="8" t="s">
        <v>123</v>
      </c>
      <c r="C13" s="19" t="str">
        <f>Assessment!D5</f>
        <v>Option A</v>
      </c>
      <c r="D13" s="14" t="str">
        <f>INDEX(Scoring_Matrix!$I$3:$I$26, MATCH("Q2-"&amp;Assessment!D5, Scoring_Matrix!$A$3:$A$26, 0))</f>
        <v>Bureaucratic Risk Avoidance</v>
      </c>
      <c r="E13" s="8" t="str">
        <f>INDEX(Scoring_Matrix!$H$3:$H$26, MATCH("Q2-"&amp;Assessment!D5, Scoring_Matrix!$A$3:$A$26, 0))</f>
        <v>+2T / -2F</v>
      </c>
    </row>
    <row r="14" spans="1:7" ht="20" customHeight="1" x14ac:dyDescent="0.4">
      <c r="A14" s="18" t="s">
        <v>14</v>
      </c>
      <c r="B14" s="8" t="s">
        <v>124</v>
      </c>
      <c r="C14" s="19" t="str">
        <f>Assessment!D6</f>
        <v>Option B</v>
      </c>
      <c r="D14" s="14" t="str">
        <f>INDEX(Scoring_Matrix!$I$3:$I$26, MATCH("Q3-"&amp;Assessment!D6, Scoring_Matrix!$A$3:$A$26, 0))</f>
        <v>Asymmetric Risk Leverage</v>
      </c>
      <c r="E14" s="8" t="str">
        <f>INDEX(Scoring_Matrix!$H$3:$H$26, MATCH("Q3-"&amp;Assessment!D6, Scoring_Matrix!$A$3:$A$26, 0))</f>
        <v>+2P / -2J</v>
      </c>
    </row>
    <row r="15" spans="1:7" ht="20" customHeight="1" x14ac:dyDescent="0.4">
      <c r="A15" s="18" t="s">
        <v>17</v>
      </c>
      <c r="B15" s="8" t="s">
        <v>125</v>
      </c>
      <c r="C15" s="19" t="str">
        <f>Assessment!D7</f>
        <v>Option A</v>
      </c>
      <c r="D15" s="14" t="str">
        <f>INDEX(Scoring_Matrix!$I$3:$I$26, MATCH("Q4-"&amp;Assessment!D7, Scoring_Matrix!$A$3:$A$26, 0))</f>
        <v>Uncompromising Deontology</v>
      </c>
      <c r="E15" s="8" t="str">
        <f>INDEX(Scoring_Matrix!$H$3:$H$26, MATCH("Q4-"&amp;Assessment!D7, Scoring_Matrix!$A$3:$A$26, 0))</f>
        <v>+2J, +1F / -2P</v>
      </c>
    </row>
    <row r="16" spans="1:7" ht="20" customHeight="1" x14ac:dyDescent="0.4">
      <c r="A16" s="18" t="s">
        <v>20</v>
      </c>
      <c r="B16" s="8" t="s">
        <v>126</v>
      </c>
      <c r="C16" s="19" t="str">
        <f>Assessment!D8</f>
        <v>Option A</v>
      </c>
      <c r="D16" s="14" t="str">
        <f>INDEX(Scoring_Matrix!$I$3:$I$26, MATCH("Q5-"&amp;Assessment!D8, Scoring_Matrix!$A$3:$A$26, 0))</f>
        <v>Guild Protectionism</v>
      </c>
      <c r="E16" s="8" t="str">
        <f>INDEX(Scoring_Matrix!$H$3:$H$26, MATCH("Q5-"&amp;Assessment!D8, Scoring_Matrix!$A$3:$A$26, 0))</f>
        <v>+2F, +2J / -2P</v>
      </c>
    </row>
    <row r="17" spans="1:5" ht="20" customHeight="1" x14ac:dyDescent="0.4">
      <c r="A17" s="18" t="s">
        <v>24</v>
      </c>
      <c r="B17" s="8" t="s">
        <v>127</v>
      </c>
      <c r="C17" s="19" t="str">
        <f>Assessment!D9</f>
        <v>Option C</v>
      </c>
      <c r="D17" s="14" t="str">
        <f>INDEX(Scoring_Matrix!$I$3:$I$26, MATCH("Q6-"&amp;Assessment!D9, Scoring_Matrix!$A$3:$A$26, 0))</f>
        <v>Maximum Life Preservation</v>
      </c>
      <c r="E17" s="8" t="str">
        <f>INDEX(Scoring_Matrix!$H$3:$H$26, MATCH("Q6-"&amp;Assessment!D9, Scoring_Matrix!$A$3:$A$26, 0))</f>
        <v>+2P / -2J</v>
      </c>
    </row>
    <row r="19" spans="1:5" ht="22" customHeight="1" x14ac:dyDescent="0.5">
      <c r="A19" s="25" t="s">
        <v>128</v>
      </c>
      <c r="B19" s="21"/>
      <c r="C19" s="21"/>
      <c r="D19" s="21"/>
      <c r="E19" s="21"/>
    </row>
    <row r="20" spans="1:5" ht="20" customHeight="1" x14ac:dyDescent="0.35">
      <c r="A20" s="14" t="s">
        <v>129</v>
      </c>
      <c r="B20" s="23" t="s">
        <v>130</v>
      </c>
      <c r="C20" s="24"/>
      <c r="D20" s="24"/>
      <c r="E20" s="24"/>
    </row>
    <row r="21" spans="1:5" ht="20" customHeight="1" x14ac:dyDescent="0.35">
      <c r="A21" s="14" t="s">
        <v>131</v>
      </c>
      <c r="B21" s="23" t="s">
        <v>132</v>
      </c>
      <c r="C21" s="24"/>
      <c r="D21" s="24"/>
      <c r="E21" s="24"/>
    </row>
    <row r="22" spans="1:5" ht="20" customHeight="1" x14ac:dyDescent="0.35">
      <c r="A22" s="14" t="s">
        <v>133</v>
      </c>
      <c r="B22" s="23" t="s">
        <v>134</v>
      </c>
      <c r="C22" s="24"/>
      <c r="D22" s="24"/>
      <c r="E22" s="24"/>
    </row>
  </sheetData>
  <mergeCells count="7">
    <mergeCell ref="B22:E22"/>
    <mergeCell ref="A1:G1"/>
    <mergeCell ref="A10:E10"/>
    <mergeCell ref="A3:D3"/>
    <mergeCell ref="B21:E21"/>
    <mergeCell ref="A19:E19"/>
    <mergeCell ref="B20:E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Scoring_Matrix</vt:lpstr>
      <vt:lpstr>Results_Dashboard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Parsons</cp:lastModifiedBy>
  <dcterms:created xsi:type="dcterms:W3CDTF">2026-08-25T11:14:06Z</dcterms:created>
  <dcterms:modified xsi:type="dcterms:W3CDTF">2026-08-25T13:00:33Z</dcterms:modified>
</cp:coreProperties>
</file>